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wngab\Desktop\"/>
    </mc:Choice>
  </mc:AlternateContent>
  <xr:revisionPtr revIDLastSave="0" documentId="13_ncr:1_{3181AD02-A581-4B2E-A921-25C35BC1197B}" xr6:coauthVersionLast="36" xr6:coauthVersionMax="45" xr10:uidLastSave="{00000000-0000-0000-0000-000000000000}"/>
  <bookViews>
    <workbookView xWindow="0" yWindow="0" windowWidth="23505" windowHeight="10500" xr2:uid="{00000000-000D-0000-FFFF-FFFF00000000}"/>
  </bookViews>
  <sheets>
    <sheet name="Main" sheetId="1" r:id="rId1"/>
    <sheet name="Quiz" sheetId="2" r:id="rId2"/>
    <sheet name="Midterm" sheetId="4" r:id="rId3"/>
    <sheet name="Final" sheetId="5" r:id="rId4"/>
  </sheets>
  <definedNames>
    <definedName name="_xlnm._FilterDatabase" localSheetId="3" hidden="1">Final!$A$1:$E$67</definedName>
    <definedName name="_xlnm._FilterDatabase" localSheetId="0" hidden="1">Main!$A$1:$J$67</definedName>
    <definedName name="_xlnm._FilterDatabase" localSheetId="2" hidden="1">Midterm!$A$1:$E$67</definedName>
    <definedName name="_xlnm._FilterDatabase" localSheetId="1" hidden="1">Quiz!$A$1:$H$67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9" i="1" l="1"/>
  <c r="D16" i="1"/>
  <c r="D34" i="1"/>
  <c r="D64" i="1"/>
  <c r="D40" i="1"/>
  <c r="D39" i="1"/>
  <c r="D52" i="1"/>
  <c r="D20" i="1"/>
  <c r="D38" i="1"/>
  <c r="D19" i="1"/>
  <c r="D25" i="1"/>
  <c r="D32" i="1"/>
  <c r="D36" i="1"/>
  <c r="D26" i="1"/>
  <c r="D61" i="1"/>
  <c r="D29" i="1"/>
  <c r="D44" i="1"/>
  <c r="H3" i="2"/>
  <c r="D24" i="1" s="1"/>
  <c r="H4" i="2"/>
  <c r="H5" i="2"/>
  <c r="D21" i="1" s="1"/>
  <c r="H6" i="2"/>
  <c r="D5" i="1" s="1"/>
  <c r="H7" i="2"/>
  <c r="D10" i="1" s="1"/>
  <c r="H8" i="2"/>
  <c r="H9" i="2"/>
  <c r="D51" i="1" s="1"/>
  <c r="H10" i="2"/>
  <c r="D27" i="1" s="1"/>
  <c r="H11" i="2"/>
  <c r="D54" i="1" s="1"/>
  <c r="H12" i="2"/>
  <c r="H13" i="2"/>
  <c r="D28" i="1" s="1"/>
  <c r="H14" i="2"/>
  <c r="D47" i="1" s="1"/>
  <c r="H15" i="2"/>
  <c r="D2" i="1" s="1"/>
  <c r="H16" i="2"/>
  <c r="H17" i="2"/>
  <c r="D53" i="1" s="1"/>
  <c r="H18" i="2"/>
  <c r="D18" i="1" s="1"/>
  <c r="H19" i="2"/>
  <c r="D37" i="1" s="1"/>
  <c r="H20" i="2"/>
  <c r="H21" i="2"/>
  <c r="D43" i="1" s="1"/>
  <c r="H22" i="2"/>
  <c r="D45" i="1" s="1"/>
  <c r="H23" i="2"/>
  <c r="D55" i="1" s="1"/>
  <c r="H24" i="2"/>
  <c r="H25" i="2"/>
  <c r="D31" i="1" s="1"/>
  <c r="H26" i="2"/>
  <c r="D11" i="1" s="1"/>
  <c r="H27" i="2"/>
  <c r="D23" i="1" s="1"/>
  <c r="H28" i="2"/>
  <c r="H29" i="2"/>
  <c r="D15" i="1" s="1"/>
  <c r="H30" i="2"/>
  <c r="D66" i="1" s="1"/>
  <c r="H31" i="2"/>
  <c r="D60" i="1" s="1"/>
  <c r="H32" i="2"/>
  <c r="H33" i="2"/>
  <c r="D4" i="1" s="1"/>
  <c r="H34" i="2"/>
  <c r="D41" i="1" s="1"/>
  <c r="H35" i="2"/>
  <c r="D67" i="1" s="1"/>
  <c r="H36" i="2"/>
  <c r="H37" i="2"/>
  <c r="D63" i="1" s="1"/>
  <c r="H38" i="2"/>
  <c r="D49" i="1" s="1"/>
  <c r="H39" i="2"/>
  <c r="D56" i="1" s="1"/>
  <c r="H40" i="2"/>
  <c r="H41" i="2"/>
  <c r="D8" i="1" s="1"/>
  <c r="H42" i="2"/>
  <c r="D17" i="1" s="1"/>
  <c r="H43" i="2"/>
  <c r="D3" i="1" s="1"/>
  <c r="H44" i="2"/>
  <c r="H45" i="2"/>
  <c r="D30" i="1" s="1"/>
  <c r="H46" i="2"/>
  <c r="D62" i="1" s="1"/>
  <c r="H47" i="2"/>
  <c r="D42" i="1" s="1"/>
  <c r="H48" i="2"/>
  <c r="H49" i="2"/>
  <c r="D48" i="1" s="1"/>
  <c r="H50" i="2"/>
  <c r="D46" i="1" s="1"/>
  <c r="H51" i="2"/>
  <c r="D22" i="1" s="1"/>
  <c r="H52" i="2"/>
  <c r="H53" i="2"/>
  <c r="D50" i="1" s="1"/>
  <c r="H54" i="2"/>
  <c r="D65" i="1" s="1"/>
  <c r="H55" i="2"/>
  <c r="D57" i="1" s="1"/>
  <c r="H56" i="2"/>
  <c r="H57" i="2"/>
  <c r="D35" i="1" s="1"/>
  <c r="H58" i="2"/>
  <c r="D6" i="1" s="1"/>
  <c r="H59" i="2"/>
  <c r="D13" i="1" s="1"/>
  <c r="H60" i="2"/>
  <c r="H61" i="2"/>
  <c r="D58" i="1" s="1"/>
  <c r="H62" i="2"/>
  <c r="D12" i="1" s="1"/>
  <c r="H63" i="2"/>
  <c r="D9" i="1" s="1"/>
  <c r="H64" i="2"/>
  <c r="H65" i="2"/>
  <c r="D14" i="1" s="1"/>
  <c r="H66" i="2"/>
  <c r="D7" i="1" s="1"/>
  <c r="H67" i="2"/>
  <c r="D33" i="1" s="1"/>
  <c r="H2" i="2"/>
  <c r="D72" i="1" l="1"/>
  <c r="D70" i="1"/>
  <c r="D73" i="1"/>
  <c r="D71" i="1"/>
  <c r="H72" i="2"/>
  <c r="H71" i="2"/>
  <c r="H70" i="2"/>
  <c r="H69" i="2"/>
  <c r="E3" i="5"/>
  <c r="F24" i="1" s="1"/>
  <c r="E4" i="5"/>
  <c r="F59" i="1" s="1"/>
  <c r="E5" i="5"/>
  <c r="F21" i="1" s="1"/>
  <c r="E6" i="5"/>
  <c r="F5" i="1" s="1"/>
  <c r="E7" i="5"/>
  <c r="F10" i="1" s="1"/>
  <c r="E8" i="5"/>
  <c r="F16" i="1" s="1"/>
  <c r="E9" i="5"/>
  <c r="F51" i="1" s="1"/>
  <c r="E10" i="5"/>
  <c r="F27" i="1" s="1"/>
  <c r="E11" i="5"/>
  <c r="F54" i="1" s="1"/>
  <c r="E12" i="5"/>
  <c r="F34" i="1" s="1"/>
  <c r="E13" i="5"/>
  <c r="F28" i="1" s="1"/>
  <c r="E14" i="5"/>
  <c r="F47" i="1" s="1"/>
  <c r="E15" i="5"/>
  <c r="F2" i="1" s="1"/>
  <c r="E16" i="5"/>
  <c r="F64" i="1" s="1"/>
  <c r="E17" i="5"/>
  <c r="F53" i="1" s="1"/>
  <c r="E18" i="5"/>
  <c r="F18" i="1" s="1"/>
  <c r="E19" i="5"/>
  <c r="F37" i="1" s="1"/>
  <c r="E20" i="5"/>
  <c r="F40" i="1" s="1"/>
  <c r="E21" i="5"/>
  <c r="F43" i="1" s="1"/>
  <c r="E22" i="5"/>
  <c r="F45" i="1" s="1"/>
  <c r="E23" i="5"/>
  <c r="F55" i="1" s="1"/>
  <c r="E24" i="5"/>
  <c r="F39" i="1" s="1"/>
  <c r="E25" i="5"/>
  <c r="F31" i="1" s="1"/>
  <c r="E26" i="5"/>
  <c r="F11" i="1" s="1"/>
  <c r="E27" i="5"/>
  <c r="F23" i="1" s="1"/>
  <c r="E28" i="5"/>
  <c r="F52" i="1" s="1"/>
  <c r="E29" i="5"/>
  <c r="F15" i="1" s="1"/>
  <c r="E30" i="5"/>
  <c r="F66" i="1" s="1"/>
  <c r="E31" i="5"/>
  <c r="F60" i="1" s="1"/>
  <c r="E32" i="5"/>
  <c r="F20" i="1" s="1"/>
  <c r="E33" i="5"/>
  <c r="F4" i="1" s="1"/>
  <c r="E34" i="5"/>
  <c r="F41" i="1" s="1"/>
  <c r="E35" i="5"/>
  <c r="F67" i="1" s="1"/>
  <c r="E36" i="5"/>
  <c r="F38" i="1" s="1"/>
  <c r="E37" i="5"/>
  <c r="F63" i="1" s="1"/>
  <c r="E38" i="5"/>
  <c r="F49" i="1" s="1"/>
  <c r="E39" i="5"/>
  <c r="F56" i="1" s="1"/>
  <c r="E40" i="5"/>
  <c r="F19" i="1" s="1"/>
  <c r="E41" i="5"/>
  <c r="F8" i="1" s="1"/>
  <c r="E42" i="5"/>
  <c r="F17" i="1" s="1"/>
  <c r="E43" i="5"/>
  <c r="F3" i="1" s="1"/>
  <c r="E44" i="5"/>
  <c r="F25" i="1" s="1"/>
  <c r="E45" i="5"/>
  <c r="F30" i="1" s="1"/>
  <c r="E46" i="5"/>
  <c r="F62" i="1" s="1"/>
  <c r="E47" i="5"/>
  <c r="F42" i="1" s="1"/>
  <c r="E48" i="5"/>
  <c r="F32" i="1" s="1"/>
  <c r="E49" i="5"/>
  <c r="F48" i="1" s="1"/>
  <c r="E50" i="5"/>
  <c r="F46" i="1" s="1"/>
  <c r="E51" i="5"/>
  <c r="F22" i="1" s="1"/>
  <c r="E52" i="5"/>
  <c r="F36" i="1" s="1"/>
  <c r="E53" i="5"/>
  <c r="F50" i="1" s="1"/>
  <c r="E54" i="5"/>
  <c r="F65" i="1" s="1"/>
  <c r="E55" i="5"/>
  <c r="F57" i="1" s="1"/>
  <c r="E56" i="5"/>
  <c r="F26" i="1" s="1"/>
  <c r="E57" i="5"/>
  <c r="F35" i="1" s="1"/>
  <c r="E58" i="5"/>
  <c r="F6" i="1" s="1"/>
  <c r="E59" i="5"/>
  <c r="F13" i="1" s="1"/>
  <c r="E60" i="5"/>
  <c r="F61" i="1" s="1"/>
  <c r="E61" i="5"/>
  <c r="F58" i="1" s="1"/>
  <c r="E62" i="5"/>
  <c r="F12" i="1" s="1"/>
  <c r="E63" i="5"/>
  <c r="F9" i="1" s="1"/>
  <c r="E64" i="5"/>
  <c r="F29" i="1" s="1"/>
  <c r="E65" i="5"/>
  <c r="F14" i="1" s="1"/>
  <c r="E66" i="5"/>
  <c r="F7" i="1" s="1"/>
  <c r="E67" i="5"/>
  <c r="F33" i="1" s="1"/>
  <c r="E2" i="5"/>
  <c r="F44" i="1" s="1"/>
  <c r="E3" i="4"/>
  <c r="E24" i="1" s="1"/>
  <c r="E4" i="4"/>
  <c r="E59" i="1" s="1"/>
  <c r="E5" i="4"/>
  <c r="E21" i="1" s="1"/>
  <c r="G21" i="1" s="1"/>
  <c r="E6" i="4"/>
  <c r="E5" i="1" s="1"/>
  <c r="G5" i="1" s="1"/>
  <c r="E7" i="4"/>
  <c r="E10" i="1" s="1"/>
  <c r="E8" i="4"/>
  <c r="E16" i="1" s="1"/>
  <c r="E9" i="4"/>
  <c r="E51" i="1" s="1"/>
  <c r="G51" i="1" s="1"/>
  <c r="E10" i="4"/>
  <c r="E27" i="1" s="1"/>
  <c r="G27" i="1" s="1"/>
  <c r="E11" i="4"/>
  <c r="E54" i="1" s="1"/>
  <c r="E12" i="4"/>
  <c r="E34" i="1" s="1"/>
  <c r="E13" i="4"/>
  <c r="E28" i="1" s="1"/>
  <c r="G28" i="1" s="1"/>
  <c r="E14" i="4"/>
  <c r="E47" i="1" s="1"/>
  <c r="G47" i="1" s="1"/>
  <c r="E15" i="4"/>
  <c r="E2" i="1" s="1"/>
  <c r="E16" i="4"/>
  <c r="E64" i="1" s="1"/>
  <c r="E17" i="4"/>
  <c r="E53" i="1" s="1"/>
  <c r="G53" i="1" s="1"/>
  <c r="E18" i="4"/>
  <c r="E18" i="1" s="1"/>
  <c r="G18" i="1" s="1"/>
  <c r="E19" i="4"/>
  <c r="E37" i="1" s="1"/>
  <c r="E20" i="4"/>
  <c r="E40" i="1" s="1"/>
  <c r="E21" i="4"/>
  <c r="E43" i="1" s="1"/>
  <c r="E22" i="4"/>
  <c r="E45" i="1" s="1"/>
  <c r="G45" i="1" s="1"/>
  <c r="E23" i="4"/>
  <c r="E55" i="1" s="1"/>
  <c r="E24" i="4"/>
  <c r="E39" i="1" s="1"/>
  <c r="E25" i="4"/>
  <c r="E31" i="1" s="1"/>
  <c r="G31" i="1" s="1"/>
  <c r="E26" i="4"/>
  <c r="E11" i="1" s="1"/>
  <c r="G11" i="1" s="1"/>
  <c r="E27" i="4"/>
  <c r="E23" i="1" s="1"/>
  <c r="G23" i="1" s="1"/>
  <c r="E28" i="4"/>
  <c r="E52" i="1" s="1"/>
  <c r="E29" i="4"/>
  <c r="E15" i="1" s="1"/>
  <c r="G15" i="1" s="1"/>
  <c r="E30" i="4"/>
  <c r="E66" i="1" s="1"/>
  <c r="G66" i="1" s="1"/>
  <c r="E31" i="4"/>
  <c r="E60" i="1" s="1"/>
  <c r="G60" i="1" s="1"/>
  <c r="E32" i="4"/>
  <c r="E20" i="1" s="1"/>
  <c r="E33" i="4"/>
  <c r="E4" i="1" s="1"/>
  <c r="G4" i="1" s="1"/>
  <c r="E34" i="4"/>
  <c r="E41" i="1" s="1"/>
  <c r="E35" i="4"/>
  <c r="E67" i="1" s="1"/>
  <c r="G67" i="1" s="1"/>
  <c r="E36" i="4"/>
  <c r="E38" i="1" s="1"/>
  <c r="E37" i="4"/>
  <c r="E63" i="1" s="1"/>
  <c r="G63" i="1" s="1"/>
  <c r="E38" i="4"/>
  <c r="E49" i="1" s="1"/>
  <c r="G49" i="1" s="1"/>
  <c r="E39" i="4"/>
  <c r="E56" i="1" s="1"/>
  <c r="E40" i="4"/>
  <c r="E19" i="1" s="1"/>
  <c r="E41" i="4"/>
  <c r="E8" i="1" s="1"/>
  <c r="G8" i="1" s="1"/>
  <c r="E42" i="4"/>
  <c r="E17" i="1" s="1"/>
  <c r="G17" i="1" s="1"/>
  <c r="E43" i="4"/>
  <c r="E3" i="1" s="1"/>
  <c r="E44" i="4"/>
  <c r="E25" i="1" s="1"/>
  <c r="E45" i="4"/>
  <c r="E30" i="1" s="1"/>
  <c r="G30" i="1" s="1"/>
  <c r="E46" i="4"/>
  <c r="E62" i="1" s="1"/>
  <c r="E47" i="4"/>
  <c r="E42" i="1" s="1"/>
  <c r="E48" i="4"/>
  <c r="E32" i="1" s="1"/>
  <c r="E49" i="4"/>
  <c r="E48" i="1" s="1"/>
  <c r="G48" i="1" s="1"/>
  <c r="E50" i="4"/>
  <c r="E46" i="1" s="1"/>
  <c r="G46" i="1" s="1"/>
  <c r="E51" i="4"/>
  <c r="E22" i="1" s="1"/>
  <c r="E52" i="4"/>
  <c r="E36" i="1" s="1"/>
  <c r="E53" i="4"/>
  <c r="E50" i="1" s="1"/>
  <c r="E54" i="4"/>
  <c r="E65" i="1" s="1"/>
  <c r="G65" i="1" s="1"/>
  <c r="E55" i="4"/>
  <c r="E57" i="1" s="1"/>
  <c r="E56" i="4"/>
  <c r="E26" i="1" s="1"/>
  <c r="E57" i="4"/>
  <c r="E35" i="1" s="1"/>
  <c r="G35" i="1" s="1"/>
  <c r="E58" i="4"/>
  <c r="E6" i="1" s="1"/>
  <c r="G6" i="1" s="1"/>
  <c r="E59" i="4"/>
  <c r="E13" i="1" s="1"/>
  <c r="E60" i="4"/>
  <c r="E61" i="1" s="1"/>
  <c r="E61" i="4"/>
  <c r="E58" i="1" s="1"/>
  <c r="G58" i="1" s="1"/>
  <c r="E62" i="4"/>
  <c r="E12" i="1" s="1"/>
  <c r="G12" i="1" s="1"/>
  <c r="E63" i="4"/>
  <c r="E9" i="1" s="1"/>
  <c r="E64" i="4"/>
  <c r="E29" i="1" s="1"/>
  <c r="E65" i="4"/>
  <c r="E14" i="1" s="1"/>
  <c r="G14" i="1" s="1"/>
  <c r="E66" i="4"/>
  <c r="E7" i="1" s="1"/>
  <c r="G7" i="1" s="1"/>
  <c r="E67" i="4"/>
  <c r="E33" i="1" s="1"/>
  <c r="E2" i="4"/>
  <c r="E44" i="1" s="1"/>
  <c r="G50" i="1" l="1"/>
  <c r="G62" i="1"/>
  <c r="G43" i="1"/>
  <c r="G41" i="1"/>
  <c r="G36" i="1"/>
  <c r="G52" i="1"/>
  <c r="G64" i="1"/>
  <c r="G40" i="1"/>
  <c r="G16" i="1"/>
  <c r="G44" i="1"/>
  <c r="G29" i="1"/>
  <c r="G61" i="1"/>
  <c r="G26" i="1"/>
  <c r="G32" i="1"/>
  <c r="G25" i="1"/>
  <c r="G19" i="1"/>
  <c r="G38" i="1"/>
  <c r="G20" i="1"/>
  <c r="G39" i="1"/>
  <c r="G34" i="1"/>
  <c r="G59" i="1"/>
  <c r="G33" i="1"/>
  <c r="G9" i="1"/>
  <c r="G13" i="1"/>
  <c r="G57" i="1"/>
  <c r="G22" i="1"/>
  <c r="G42" i="1"/>
  <c r="G3" i="1"/>
  <c r="G56" i="1"/>
  <c r="G55" i="1"/>
  <c r="G37" i="1"/>
  <c r="G2" i="1"/>
  <c r="G54" i="1"/>
  <c r="G10" i="1"/>
  <c r="G24" i="1"/>
  <c r="E71" i="5"/>
  <c r="E72" i="4"/>
  <c r="E72" i="5"/>
  <c r="E71" i="4"/>
  <c r="F73" i="1"/>
  <c r="F72" i="1"/>
  <c r="F71" i="1"/>
  <c r="F70" i="1"/>
  <c r="E69" i="4"/>
  <c r="E69" i="5"/>
  <c r="E70" i="1"/>
  <c r="E73" i="1"/>
  <c r="E72" i="1"/>
  <c r="E71" i="1"/>
  <c r="E70" i="4"/>
  <c r="E70" i="5"/>
  <c r="G72" i="1" l="1"/>
  <c r="G71" i="1"/>
  <c r="G70" i="1"/>
  <c r="G73" i="1"/>
</calcChain>
</file>

<file path=xl/sharedStrings.xml><?xml version="1.0" encoding="utf-8"?>
<sst xmlns="http://schemas.openxmlformats.org/spreadsheetml/2006/main" count="579" uniqueCount="94">
  <si>
    <t>Class Section</t>
  </si>
  <si>
    <t>ID</t>
  </si>
  <si>
    <t>Student Name</t>
  </si>
  <si>
    <t>L1</t>
  </si>
  <si>
    <t>Emile Ferreira</t>
  </si>
  <si>
    <t>Tianna Grey</t>
  </si>
  <si>
    <t>Jaeden Curtis</t>
  </si>
  <si>
    <t>Nataniel Blankenship</t>
  </si>
  <si>
    <t>Yuvraj Lees</t>
  </si>
  <si>
    <t>Steven Liu</t>
  </si>
  <si>
    <t>Kieron Harrington</t>
  </si>
  <si>
    <t>Emmanuel Chan</t>
  </si>
  <si>
    <t>Angelika Portillo</t>
  </si>
  <si>
    <t>Clement Wise</t>
  </si>
  <si>
    <t>Pablo Kent</t>
  </si>
  <si>
    <t>Falak Ramsay</t>
  </si>
  <si>
    <t>Guto Ellison</t>
  </si>
  <si>
    <t>Eryk Burris</t>
  </si>
  <si>
    <t>Fahad Sanderson</t>
  </si>
  <si>
    <t>Kyron Hilton</t>
  </si>
  <si>
    <t>Mahi Schaefer</t>
  </si>
  <si>
    <t>Adem Velasquez</t>
  </si>
  <si>
    <t>Juan Frazier</t>
  </si>
  <si>
    <t>Liana Parkinson</t>
  </si>
  <si>
    <t>Delores Marshall</t>
  </si>
  <si>
    <t>Codey Potts</t>
  </si>
  <si>
    <t>Habibah Villalobos</t>
  </si>
  <si>
    <t>Hugo Estrada</t>
  </si>
  <si>
    <t>Jagdeep Mac</t>
  </si>
  <si>
    <t>Julia Ratliff</t>
  </si>
  <si>
    <t>Jack Beasley</t>
  </si>
  <si>
    <t>Alexa Chung</t>
  </si>
  <si>
    <t>Millie-Rose Avalos</t>
  </si>
  <si>
    <t>Finbar Francis</t>
  </si>
  <si>
    <t>Kristian Conner</t>
  </si>
  <si>
    <t>Joel Corrigan</t>
  </si>
  <si>
    <t>Taine Rosas</t>
  </si>
  <si>
    <t>Harlen Reader</t>
  </si>
  <si>
    <t>Jermaine Bautista</t>
  </si>
  <si>
    <t>Sufyan Workman</t>
  </si>
  <si>
    <t>Mohamad Stamp</t>
  </si>
  <si>
    <t>Rudi Ayers</t>
  </si>
  <si>
    <t>Sanaya Downs</t>
  </si>
  <si>
    <t>Xavier Krause</t>
  </si>
  <si>
    <t>Eshaan Garcia</t>
  </si>
  <si>
    <t>Kaia Shelton</t>
  </si>
  <si>
    <t>Cheyenne Hackett</t>
  </si>
  <si>
    <t>Amara Maldonado</t>
  </si>
  <si>
    <t>Brian Huerta</t>
  </si>
  <si>
    <t>Justine Paul</t>
  </si>
  <si>
    <t>Zishan Wynn</t>
  </si>
  <si>
    <t>Evie-Mae Sparks</t>
  </si>
  <si>
    <t>Morris Leon</t>
  </si>
  <si>
    <t>Jamie-Lee Ward</t>
  </si>
  <si>
    <t>Yunus Lugo</t>
  </si>
  <si>
    <t>Akeel Dalton</t>
  </si>
  <si>
    <t>Juliette Seymour</t>
  </si>
  <si>
    <t>Zachery Quintero</t>
  </si>
  <si>
    <t>Cem Wheeler</t>
  </si>
  <si>
    <t>Jibril Miles</t>
  </si>
  <si>
    <t>Carmel Merrill</t>
  </si>
  <si>
    <t>Nabeela Contreras</t>
  </si>
  <si>
    <t>Danni Carpenter</t>
  </si>
  <si>
    <t>Eleri Parks</t>
  </si>
  <si>
    <t>Arlo Davies</t>
  </si>
  <si>
    <t>Alexandru Hester</t>
  </si>
  <si>
    <t>Areebah Petersen</t>
  </si>
  <si>
    <t>Daanish Dotson</t>
  </si>
  <si>
    <t>Nisha Gough</t>
  </si>
  <si>
    <t>Coby White</t>
  </si>
  <si>
    <t>Quiz 1</t>
  </si>
  <si>
    <t>Quiz 2</t>
  </si>
  <si>
    <t>Quiz 3</t>
  </si>
  <si>
    <t>Quiz 4</t>
  </si>
  <si>
    <t>Raw Final</t>
  </si>
  <si>
    <t>Raw mid-term (25)</t>
  </si>
  <si>
    <t>Quiz (15%)</t>
  </si>
  <si>
    <t>Midterm (35%)</t>
  </si>
  <si>
    <t>Total (15%)</t>
  </si>
  <si>
    <t>Total (35%)</t>
  </si>
  <si>
    <t>Average</t>
  </si>
  <si>
    <t>SD</t>
  </si>
  <si>
    <t>Min</t>
  </si>
  <si>
    <t>Max</t>
  </si>
  <si>
    <t>Total</t>
  </si>
  <si>
    <t>Final (50%)</t>
  </si>
  <si>
    <t>Total (50%)</t>
  </si>
  <si>
    <t>Difference</t>
  </si>
  <si>
    <t>Grade</t>
  </si>
  <si>
    <t>test</t>
  </si>
  <si>
    <t>No</t>
  </si>
  <si>
    <t>Greatest difference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</si>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</sst>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0" fontId="2" fillId="2" borderId="1" xfId="0" applyFont="1" applyFill="1" applyBorder="1" applyAlignment="1">
      <alignment vertical="center"/>
    </xf>
    <xf numFmtId="2" fontId="2" fillId="3" borderId="1" xfId="0" applyNumberFormat="1" applyFont="1" applyFill="1" applyBorder="1" applyAlignment="1">
      <alignment vertical="center"/>
    </xf>
    <xf numFmtId="0" fontId="1" fillId="0" borderId="0" xfId="0" applyFont="1" applyFill="1" applyAlignment="1">
      <alignment vertical="center"/>
    </xf>
    <xf numFmtId="2" fontId="1" fillId="0" borderId="0" xfId="0" applyNumberFormat="1" applyFont="1" applyBorder="1" applyAlignment="1">
      <alignment vertical="center"/>
    </xf>
    <xf numFmtId="0" fontId="1" fillId="0" borderId="0" xfId="0" applyFont="1" applyBorder="1" applyAlignment="1">
      <alignment vertical="center"/>
    </xf>
    <xf numFmtId="2" fontId="1" fillId="0" borderId="0" xfId="0" applyNumberFormat="1" applyFont="1" applyAlignment="1">
      <alignment vertical="center"/>
    </xf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3" fillId="0" borderId="0" xfId="0" applyFont="1"/>
    <xf numFmtId="2" fontId="0" fillId="0" borderId="0" xfId="0" applyNumberFormat="1"/>
    <xf numFmtId="0" fontId="2" fillId="0" borderId="0" xfId="0" applyFont="1" applyFill="1" applyBorder="1" applyAlignment="1">
      <alignment vertical="center"/>
    </xf>
    <xf numFmtId="2" fontId="2" fillId="0" borderId="0" xfId="0" applyNumberFormat="1" applyFont="1" applyFill="1" applyBorder="1" applyAlignment="1">
      <alignment vertical="center"/>
    </xf>
    <xf numFmtId="2" fontId="1" fillId="0" borderId="0" xfId="0" applyNumberFormat="1" applyFont="1" applyFill="1" applyBorder="1" applyAlignment="1">
      <alignment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3"/>
  <sheetViews>
    <sheetView tabSelected="1" topLeftCell="E1" workbookViewId="0">
      <selection activeCell="L16" sqref="L16"/>
    </sheetView>
  </sheetViews>
  <sheetFormatPr defaultColWidth="10" defaultRowHeight="15" x14ac:dyDescent="0.25"/>
  <cols>
    <col min="1" max="1" width="16" style="1" bestFit="1" customWidth="1"/>
    <col min="2" max="2" width="9" style="6" bestFit="1" customWidth="1"/>
    <col min="3" max="3" width="27.85546875" style="1" bestFit="1" customWidth="1"/>
    <col min="4" max="4" width="19.7109375" style="1" bestFit="1" customWidth="1"/>
    <col min="5" max="5" width="25" style="1" bestFit="1" customWidth="1"/>
    <col min="6" max="6" width="20.42578125" style="1" bestFit="1" customWidth="1"/>
    <col min="7" max="7" width="16.7109375" style="6" customWidth="1"/>
    <col min="8" max="8" width="10" style="16"/>
    <col min="9" max="9" width="10" style="1"/>
    <col min="10" max="10" width="10" style="16"/>
    <col min="11" max="11" width="17.5703125" style="1" bestFit="1" customWidth="1"/>
    <col min="12" max="226" width="10" style="1"/>
    <col min="227" max="228" width="26.140625" style="1" customWidth="1"/>
    <col min="229" max="236" width="0" style="1" hidden="1" customWidth="1"/>
    <col min="237" max="237" width="10.5703125" style="1" customWidth="1"/>
    <col min="238" max="243" width="0" style="1" hidden="1" customWidth="1"/>
    <col min="244" max="244" width="11.5703125" style="1" customWidth="1"/>
    <col min="245" max="245" width="0" style="1" hidden="1" customWidth="1"/>
    <col min="246" max="246" width="18.5703125" style="1" customWidth="1"/>
    <col min="247" max="247" width="0" style="1" hidden="1" customWidth="1"/>
    <col min="248" max="248" width="12.28515625" style="1" customWidth="1"/>
    <col min="249" max="249" width="10.7109375" style="1" customWidth="1"/>
    <col min="250" max="482" width="10" style="1"/>
    <col min="483" max="484" width="26.140625" style="1" customWidth="1"/>
    <col min="485" max="492" width="0" style="1" hidden="1" customWidth="1"/>
    <col min="493" max="493" width="10.5703125" style="1" customWidth="1"/>
    <col min="494" max="499" width="0" style="1" hidden="1" customWidth="1"/>
    <col min="500" max="500" width="11.5703125" style="1" customWidth="1"/>
    <col min="501" max="501" width="0" style="1" hidden="1" customWidth="1"/>
    <col min="502" max="502" width="18.5703125" style="1" customWidth="1"/>
    <col min="503" max="503" width="0" style="1" hidden="1" customWidth="1"/>
    <col min="504" max="504" width="12.28515625" style="1" customWidth="1"/>
    <col min="505" max="505" width="10.7109375" style="1" customWidth="1"/>
    <col min="506" max="738" width="10" style="1"/>
    <col min="739" max="740" width="26.140625" style="1" customWidth="1"/>
    <col min="741" max="748" width="0" style="1" hidden="1" customWidth="1"/>
    <col min="749" max="749" width="10.5703125" style="1" customWidth="1"/>
    <col min="750" max="755" width="0" style="1" hidden="1" customWidth="1"/>
    <col min="756" max="756" width="11.5703125" style="1" customWidth="1"/>
    <col min="757" max="757" width="0" style="1" hidden="1" customWidth="1"/>
    <col min="758" max="758" width="18.5703125" style="1" customWidth="1"/>
    <col min="759" max="759" width="0" style="1" hidden="1" customWidth="1"/>
    <col min="760" max="760" width="12.28515625" style="1" customWidth="1"/>
    <col min="761" max="761" width="10.7109375" style="1" customWidth="1"/>
    <col min="762" max="994" width="10" style="1"/>
    <col min="995" max="996" width="26.140625" style="1" customWidth="1"/>
    <col min="997" max="1004" width="0" style="1" hidden="1" customWidth="1"/>
    <col min="1005" max="1005" width="10.5703125" style="1" customWidth="1"/>
    <col min="1006" max="1011" width="0" style="1" hidden="1" customWidth="1"/>
    <col min="1012" max="1012" width="11.5703125" style="1" customWidth="1"/>
    <col min="1013" max="1013" width="0" style="1" hidden="1" customWidth="1"/>
    <col min="1014" max="1014" width="18.5703125" style="1" customWidth="1"/>
    <col min="1015" max="1015" width="0" style="1" hidden="1" customWidth="1"/>
    <col min="1016" max="1016" width="12.28515625" style="1" customWidth="1"/>
    <col min="1017" max="1017" width="10.7109375" style="1" customWidth="1"/>
    <col min="1018" max="1250" width="10" style="1"/>
    <col min="1251" max="1252" width="26.140625" style="1" customWidth="1"/>
    <col min="1253" max="1260" width="0" style="1" hidden="1" customWidth="1"/>
    <col min="1261" max="1261" width="10.5703125" style="1" customWidth="1"/>
    <col min="1262" max="1267" width="0" style="1" hidden="1" customWidth="1"/>
    <col min="1268" max="1268" width="11.5703125" style="1" customWidth="1"/>
    <col min="1269" max="1269" width="0" style="1" hidden="1" customWidth="1"/>
    <col min="1270" max="1270" width="18.5703125" style="1" customWidth="1"/>
    <col min="1271" max="1271" width="0" style="1" hidden="1" customWidth="1"/>
    <col min="1272" max="1272" width="12.28515625" style="1" customWidth="1"/>
    <col min="1273" max="1273" width="10.7109375" style="1" customWidth="1"/>
    <col min="1274" max="1506" width="10" style="1"/>
    <col min="1507" max="1508" width="26.140625" style="1" customWidth="1"/>
    <col min="1509" max="1516" width="0" style="1" hidden="1" customWidth="1"/>
    <col min="1517" max="1517" width="10.5703125" style="1" customWidth="1"/>
    <col min="1518" max="1523" width="0" style="1" hidden="1" customWidth="1"/>
    <col min="1524" max="1524" width="11.5703125" style="1" customWidth="1"/>
    <col min="1525" max="1525" width="0" style="1" hidden="1" customWidth="1"/>
    <col min="1526" max="1526" width="18.5703125" style="1" customWidth="1"/>
    <col min="1527" max="1527" width="0" style="1" hidden="1" customWidth="1"/>
    <col min="1528" max="1528" width="12.28515625" style="1" customWidth="1"/>
    <col min="1529" max="1529" width="10.7109375" style="1" customWidth="1"/>
    <col min="1530" max="1762" width="10" style="1"/>
    <col min="1763" max="1764" width="26.140625" style="1" customWidth="1"/>
    <col min="1765" max="1772" width="0" style="1" hidden="1" customWidth="1"/>
    <col min="1773" max="1773" width="10.5703125" style="1" customWidth="1"/>
    <col min="1774" max="1779" width="0" style="1" hidden="1" customWidth="1"/>
    <col min="1780" max="1780" width="11.5703125" style="1" customWidth="1"/>
    <col min="1781" max="1781" width="0" style="1" hidden="1" customWidth="1"/>
    <col min="1782" max="1782" width="18.5703125" style="1" customWidth="1"/>
    <col min="1783" max="1783" width="0" style="1" hidden="1" customWidth="1"/>
    <col min="1784" max="1784" width="12.28515625" style="1" customWidth="1"/>
    <col min="1785" max="1785" width="10.7109375" style="1" customWidth="1"/>
    <col min="1786" max="2018" width="10" style="1"/>
    <col min="2019" max="2020" width="26.140625" style="1" customWidth="1"/>
    <col min="2021" max="2028" width="0" style="1" hidden="1" customWidth="1"/>
    <col min="2029" max="2029" width="10.5703125" style="1" customWidth="1"/>
    <col min="2030" max="2035" width="0" style="1" hidden="1" customWidth="1"/>
    <col min="2036" max="2036" width="11.5703125" style="1" customWidth="1"/>
    <col min="2037" max="2037" width="0" style="1" hidden="1" customWidth="1"/>
    <col min="2038" max="2038" width="18.5703125" style="1" customWidth="1"/>
    <col min="2039" max="2039" width="0" style="1" hidden="1" customWidth="1"/>
    <col min="2040" max="2040" width="12.28515625" style="1" customWidth="1"/>
    <col min="2041" max="2041" width="10.7109375" style="1" customWidth="1"/>
    <col min="2042" max="2274" width="10" style="1"/>
    <col min="2275" max="2276" width="26.140625" style="1" customWidth="1"/>
    <col min="2277" max="2284" width="0" style="1" hidden="1" customWidth="1"/>
    <col min="2285" max="2285" width="10.5703125" style="1" customWidth="1"/>
    <col min="2286" max="2291" width="0" style="1" hidden="1" customWidth="1"/>
    <col min="2292" max="2292" width="11.5703125" style="1" customWidth="1"/>
    <col min="2293" max="2293" width="0" style="1" hidden="1" customWidth="1"/>
    <col min="2294" max="2294" width="18.5703125" style="1" customWidth="1"/>
    <col min="2295" max="2295" width="0" style="1" hidden="1" customWidth="1"/>
    <col min="2296" max="2296" width="12.28515625" style="1" customWidth="1"/>
    <col min="2297" max="2297" width="10.7109375" style="1" customWidth="1"/>
    <col min="2298" max="2530" width="10" style="1"/>
    <col min="2531" max="2532" width="26.140625" style="1" customWidth="1"/>
    <col min="2533" max="2540" width="0" style="1" hidden="1" customWidth="1"/>
    <col min="2541" max="2541" width="10.5703125" style="1" customWidth="1"/>
    <col min="2542" max="2547" width="0" style="1" hidden="1" customWidth="1"/>
    <col min="2548" max="2548" width="11.5703125" style="1" customWidth="1"/>
    <col min="2549" max="2549" width="0" style="1" hidden="1" customWidth="1"/>
    <col min="2550" max="2550" width="18.5703125" style="1" customWidth="1"/>
    <col min="2551" max="2551" width="0" style="1" hidden="1" customWidth="1"/>
    <col min="2552" max="2552" width="12.28515625" style="1" customWidth="1"/>
    <col min="2553" max="2553" width="10.7109375" style="1" customWidth="1"/>
    <col min="2554" max="2786" width="10" style="1"/>
    <col min="2787" max="2788" width="26.140625" style="1" customWidth="1"/>
    <col min="2789" max="2796" width="0" style="1" hidden="1" customWidth="1"/>
    <col min="2797" max="2797" width="10.5703125" style="1" customWidth="1"/>
    <col min="2798" max="2803" width="0" style="1" hidden="1" customWidth="1"/>
    <col min="2804" max="2804" width="11.5703125" style="1" customWidth="1"/>
    <col min="2805" max="2805" width="0" style="1" hidden="1" customWidth="1"/>
    <col min="2806" max="2806" width="18.5703125" style="1" customWidth="1"/>
    <col min="2807" max="2807" width="0" style="1" hidden="1" customWidth="1"/>
    <col min="2808" max="2808" width="12.28515625" style="1" customWidth="1"/>
    <col min="2809" max="2809" width="10.7109375" style="1" customWidth="1"/>
    <col min="2810" max="3042" width="10" style="1"/>
    <col min="3043" max="3044" width="26.140625" style="1" customWidth="1"/>
    <col min="3045" max="3052" width="0" style="1" hidden="1" customWidth="1"/>
    <col min="3053" max="3053" width="10.5703125" style="1" customWidth="1"/>
    <col min="3054" max="3059" width="0" style="1" hidden="1" customWidth="1"/>
    <col min="3060" max="3060" width="11.5703125" style="1" customWidth="1"/>
    <col min="3061" max="3061" width="0" style="1" hidden="1" customWidth="1"/>
    <col min="3062" max="3062" width="18.5703125" style="1" customWidth="1"/>
    <col min="3063" max="3063" width="0" style="1" hidden="1" customWidth="1"/>
    <col min="3064" max="3064" width="12.28515625" style="1" customWidth="1"/>
    <col min="3065" max="3065" width="10.7109375" style="1" customWidth="1"/>
    <col min="3066" max="3298" width="10" style="1"/>
    <col min="3299" max="3300" width="26.140625" style="1" customWidth="1"/>
    <col min="3301" max="3308" width="0" style="1" hidden="1" customWidth="1"/>
    <col min="3309" max="3309" width="10.5703125" style="1" customWidth="1"/>
    <col min="3310" max="3315" width="0" style="1" hidden="1" customWidth="1"/>
    <col min="3316" max="3316" width="11.5703125" style="1" customWidth="1"/>
    <col min="3317" max="3317" width="0" style="1" hidden="1" customWidth="1"/>
    <col min="3318" max="3318" width="18.5703125" style="1" customWidth="1"/>
    <col min="3319" max="3319" width="0" style="1" hidden="1" customWidth="1"/>
    <col min="3320" max="3320" width="12.28515625" style="1" customWidth="1"/>
    <col min="3321" max="3321" width="10.7109375" style="1" customWidth="1"/>
    <col min="3322" max="3554" width="10" style="1"/>
    <col min="3555" max="3556" width="26.140625" style="1" customWidth="1"/>
    <col min="3557" max="3564" width="0" style="1" hidden="1" customWidth="1"/>
    <col min="3565" max="3565" width="10.5703125" style="1" customWidth="1"/>
    <col min="3566" max="3571" width="0" style="1" hidden="1" customWidth="1"/>
    <col min="3572" max="3572" width="11.5703125" style="1" customWidth="1"/>
    <col min="3573" max="3573" width="0" style="1" hidden="1" customWidth="1"/>
    <col min="3574" max="3574" width="18.5703125" style="1" customWidth="1"/>
    <col min="3575" max="3575" width="0" style="1" hidden="1" customWidth="1"/>
    <col min="3576" max="3576" width="12.28515625" style="1" customWidth="1"/>
    <col min="3577" max="3577" width="10.7109375" style="1" customWidth="1"/>
    <col min="3578" max="3810" width="10" style="1"/>
    <col min="3811" max="3812" width="26.140625" style="1" customWidth="1"/>
    <col min="3813" max="3820" width="0" style="1" hidden="1" customWidth="1"/>
    <col min="3821" max="3821" width="10.5703125" style="1" customWidth="1"/>
    <col min="3822" max="3827" width="0" style="1" hidden="1" customWidth="1"/>
    <col min="3828" max="3828" width="11.5703125" style="1" customWidth="1"/>
    <col min="3829" max="3829" width="0" style="1" hidden="1" customWidth="1"/>
    <col min="3830" max="3830" width="18.5703125" style="1" customWidth="1"/>
    <col min="3831" max="3831" width="0" style="1" hidden="1" customWidth="1"/>
    <col min="3832" max="3832" width="12.28515625" style="1" customWidth="1"/>
    <col min="3833" max="3833" width="10.7109375" style="1" customWidth="1"/>
    <col min="3834" max="4066" width="10" style="1"/>
    <col min="4067" max="4068" width="26.140625" style="1" customWidth="1"/>
    <col min="4069" max="4076" width="0" style="1" hidden="1" customWidth="1"/>
    <col min="4077" max="4077" width="10.5703125" style="1" customWidth="1"/>
    <col min="4078" max="4083" width="0" style="1" hidden="1" customWidth="1"/>
    <col min="4084" max="4084" width="11.5703125" style="1" customWidth="1"/>
    <col min="4085" max="4085" width="0" style="1" hidden="1" customWidth="1"/>
    <col min="4086" max="4086" width="18.5703125" style="1" customWidth="1"/>
    <col min="4087" max="4087" width="0" style="1" hidden="1" customWidth="1"/>
    <col min="4088" max="4088" width="12.28515625" style="1" customWidth="1"/>
    <col min="4089" max="4089" width="10.7109375" style="1" customWidth="1"/>
    <col min="4090" max="4322" width="10" style="1"/>
    <col min="4323" max="4324" width="26.140625" style="1" customWidth="1"/>
    <col min="4325" max="4332" width="0" style="1" hidden="1" customWidth="1"/>
    <col min="4333" max="4333" width="10.5703125" style="1" customWidth="1"/>
    <col min="4334" max="4339" width="0" style="1" hidden="1" customWidth="1"/>
    <col min="4340" max="4340" width="11.5703125" style="1" customWidth="1"/>
    <col min="4341" max="4341" width="0" style="1" hidden="1" customWidth="1"/>
    <col min="4342" max="4342" width="18.5703125" style="1" customWidth="1"/>
    <col min="4343" max="4343" width="0" style="1" hidden="1" customWidth="1"/>
    <col min="4344" max="4344" width="12.28515625" style="1" customWidth="1"/>
    <col min="4345" max="4345" width="10.7109375" style="1" customWidth="1"/>
    <col min="4346" max="4578" width="10" style="1"/>
    <col min="4579" max="4580" width="26.140625" style="1" customWidth="1"/>
    <col min="4581" max="4588" width="0" style="1" hidden="1" customWidth="1"/>
    <col min="4589" max="4589" width="10.5703125" style="1" customWidth="1"/>
    <col min="4590" max="4595" width="0" style="1" hidden="1" customWidth="1"/>
    <col min="4596" max="4596" width="11.5703125" style="1" customWidth="1"/>
    <col min="4597" max="4597" width="0" style="1" hidden="1" customWidth="1"/>
    <col min="4598" max="4598" width="18.5703125" style="1" customWidth="1"/>
    <col min="4599" max="4599" width="0" style="1" hidden="1" customWidth="1"/>
    <col min="4600" max="4600" width="12.28515625" style="1" customWidth="1"/>
    <col min="4601" max="4601" width="10.7109375" style="1" customWidth="1"/>
    <col min="4602" max="4834" width="10" style="1"/>
    <col min="4835" max="4836" width="26.140625" style="1" customWidth="1"/>
    <col min="4837" max="4844" width="0" style="1" hidden="1" customWidth="1"/>
    <col min="4845" max="4845" width="10.5703125" style="1" customWidth="1"/>
    <col min="4846" max="4851" width="0" style="1" hidden="1" customWidth="1"/>
    <col min="4852" max="4852" width="11.5703125" style="1" customWidth="1"/>
    <col min="4853" max="4853" width="0" style="1" hidden="1" customWidth="1"/>
    <col min="4854" max="4854" width="18.5703125" style="1" customWidth="1"/>
    <col min="4855" max="4855" width="0" style="1" hidden="1" customWidth="1"/>
    <col min="4856" max="4856" width="12.28515625" style="1" customWidth="1"/>
    <col min="4857" max="4857" width="10.7109375" style="1" customWidth="1"/>
    <col min="4858" max="5090" width="10" style="1"/>
    <col min="5091" max="5092" width="26.140625" style="1" customWidth="1"/>
    <col min="5093" max="5100" width="0" style="1" hidden="1" customWidth="1"/>
    <col min="5101" max="5101" width="10.5703125" style="1" customWidth="1"/>
    <col min="5102" max="5107" width="0" style="1" hidden="1" customWidth="1"/>
    <col min="5108" max="5108" width="11.5703125" style="1" customWidth="1"/>
    <col min="5109" max="5109" width="0" style="1" hidden="1" customWidth="1"/>
    <col min="5110" max="5110" width="18.5703125" style="1" customWidth="1"/>
    <col min="5111" max="5111" width="0" style="1" hidden="1" customWidth="1"/>
    <col min="5112" max="5112" width="12.28515625" style="1" customWidth="1"/>
    <col min="5113" max="5113" width="10.7109375" style="1" customWidth="1"/>
    <col min="5114" max="5346" width="10" style="1"/>
    <col min="5347" max="5348" width="26.140625" style="1" customWidth="1"/>
    <col min="5349" max="5356" width="0" style="1" hidden="1" customWidth="1"/>
    <col min="5357" max="5357" width="10.5703125" style="1" customWidth="1"/>
    <col min="5358" max="5363" width="0" style="1" hidden="1" customWidth="1"/>
    <col min="5364" max="5364" width="11.5703125" style="1" customWidth="1"/>
    <col min="5365" max="5365" width="0" style="1" hidden="1" customWidth="1"/>
    <col min="5366" max="5366" width="18.5703125" style="1" customWidth="1"/>
    <col min="5367" max="5367" width="0" style="1" hidden="1" customWidth="1"/>
    <col min="5368" max="5368" width="12.28515625" style="1" customWidth="1"/>
    <col min="5369" max="5369" width="10.7109375" style="1" customWidth="1"/>
    <col min="5370" max="5602" width="10" style="1"/>
    <col min="5603" max="5604" width="26.140625" style="1" customWidth="1"/>
    <col min="5605" max="5612" width="0" style="1" hidden="1" customWidth="1"/>
    <col min="5613" max="5613" width="10.5703125" style="1" customWidth="1"/>
    <col min="5614" max="5619" width="0" style="1" hidden="1" customWidth="1"/>
    <col min="5620" max="5620" width="11.5703125" style="1" customWidth="1"/>
    <col min="5621" max="5621" width="0" style="1" hidden="1" customWidth="1"/>
    <col min="5622" max="5622" width="18.5703125" style="1" customWidth="1"/>
    <col min="5623" max="5623" width="0" style="1" hidden="1" customWidth="1"/>
    <col min="5624" max="5624" width="12.28515625" style="1" customWidth="1"/>
    <col min="5625" max="5625" width="10.7109375" style="1" customWidth="1"/>
    <col min="5626" max="5858" width="10" style="1"/>
    <col min="5859" max="5860" width="26.140625" style="1" customWidth="1"/>
    <col min="5861" max="5868" width="0" style="1" hidden="1" customWidth="1"/>
    <col min="5869" max="5869" width="10.5703125" style="1" customWidth="1"/>
    <col min="5870" max="5875" width="0" style="1" hidden="1" customWidth="1"/>
    <col min="5876" max="5876" width="11.5703125" style="1" customWidth="1"/>
    <col min="5877" max="5877" width="0" style="1" hidden="1" customWidth="1"/>
    <col min="5878" max="5878" width="18.5703125" style="1" customWidth="1"/>
    <col min="5879" max="5879" width="0" style="1" hidden="1" customWidth="1"/>
    <col min="5880" max="5880" width="12.28515625" style="1" customWidth="1"/>
    <col min="5881" max="5881" width="10.7109375" style="1" customWidth="1"/>
    <col min="5882" max="6114" width="10" style="1"/>
    <col min="6115" max="6116" width="26.140625" style="1" customWidth="1"/>
    <col min="6117" max="6124" width="0" style="1" hidden="1" customWidth="1"/>
    <col min="6125" max="6125" width="10.5703125" style="1" customWidth="1"/>
    <col min="6126" max="6131" width="0" style="1" hidden="1" customWidth="1"/>
    <col min="6132" max="6132" width="11.5703125" style="1" customWidth="1"/>
    <col min="6133" max="6133" width="0" style="1" hidden="1" customWidth="1"/>
    <col min="6134" max="6134" width="18.5703125" style="1" customWidth="1"/>
    <col min="6135" max="6135" width="0" style="1" hidden="1" customWidth="1"/>
    <col min="6136" max="6136" width="12.28515625" style="1" customWidth="1"/>
    <col min="6137" max="6137" width="10.7109375" style="1" customWidth="1"/>
    <col min="6138" max="6370" width="10" style="1"/>
    <col min="6371" max="6372" width="26.140625" style="1" customWidth="1"/>
    <col min="6373" max="6380" width="0" style="1" hidden="1" customWidth="1"/>
    <col min="6381" max="6381" width="10.5703125" style="1" customWidth="1"/>
    <col min="6382" max="6387" width="0" style="1" hidden="1" customWidth="1"/>
    <col min="6388" max="6388" width="11.5703125" style="1" customWidth="1"/>
    <col min="6389" max="6389" width="0" style="1" hidden="1" customWidth="1"/>
    <col min="6390" max="6390" width="18.5703125" style="1" customWidth="1"/>
    <col min="6391" max="6391" width="0" style="1" hidden="1" customWidth="1"/>
    <col min="6392" max="6392" width="12.28515625" style="1" customWidth="1"/>
    <col min="6393" max="6393" width="10.7109375" style="1" customWidth="1"/>
    <col min="6394" max="6626" width="10" style="1"/>
    <col min="6627" max="6628" width="26.140625" style="1" customWidth="1"/>
    <col min="6629" max="6636" width="0" style="1" hidden="1" customWidth="1"/>
    <col min="6637" max="6637" width="10.5703125" style="1" customWidth="1"/>
    <col min="6638" max="6643" width="0" style="1" hidden="1" customWidth="1"/>
    <col min="6644" max="6644" width="11.5703125" style="1" customWidth="1"/>
    <col min="6645" max="6645" width="0" style="1" hidden="1" customWidth="1"/>
    <col min="6646" max="6646" width="18.5703125" style="1" customWidth="1"/>
    <col min="6647" max="6647" width="0" style="1" hidden="1" customWidth="1"/>
    <col min="6648" max="6648" width="12.28515625" style="1" customWidth="1"/>
    <col min="6649" max="6649" width="10.7109375" style="1" customWidth="1"/>
    <col min="6650" max="6882" width="10" style="1"/>
    <col min="6883" max="6884" width="26.140625" style="1" customWidth="1"/>
    <col min="6885" max="6892" width="0" style="1" hidden="1" customWidth="1"/>
    <col min="6893" max="6893" width="10.5703125" style="1" customWidth="1"/>
    <col min="6894" max="6899" width="0" style="1" hidden="1" customWidth="1"/>
    <col min="6900" max="6900" width="11.5703125" style="1" customWidth="1"/>
    <col min="6901" max="6901" width="0" style="1" hidden="1" customWidth="1"/>
    <col min="6902" max="6902" width="18.5703125" style="1" customWidth="1"/>
    <col min="6903" max="6903" width="0" style="1" hidden="1" customWidth="1"/>
    <col min="6904" max="6904" width="12.28515625" style="1" customWidth="1"/>
    <col min="6905" max="6905" width="10.7109375" style="1" customWidth="1"/>
    <col min="6906" max="7138" width="10" style="1"/>
    <col min="7139" max="7140" width="26.140625" style="1" customWidth="1"/>
    <col min="7141" max="7148" width="0" style="1" hidden="1" customWidth="1"/>
    <col min="7149" max="7149" width="10.5703125" style="1" customWidth="1"/>
    <col min="7150" max="7155" width="0" style="1" hidden="1" customWidth="1"/>
    <col min="7156" max="7156" width="11.5703125" style="1" customWidth="1"/>
    <col min="7157" max="7157" width="0" style="1" hidden="1" customWidth="1"/>
    <col min="7158" max="7158" width="18.5703125" style="1" customWidth="1"/>
    <col min="7159" max="7159" width="0" style="1" hidden="1" customWidth="1"/>
    <col min="7160" max="7160" width="12.28515625" style="1" customWidth="1"/>
    <col min="7161" max="7161" width="10.7109375" style="1" customWidth="1"/>
    <col min="7162" max="7394" width="10" style="1"/>
    <col min="7395" max="7396" width="26.140625" style="1" customWidth="1"/>
    <col min="7397" max="7404" width="0" style="1" hidden="1" customWidth="1"/>
    <col min="7405" max="7405" width="10.5703125" style="1" customWidth="1"/>
    <col min="7406" max="7411" width="0" style="1" hidden="1" customWidth="1"/>
    <col min="7412" max="7412" width="11.5703125" style="1" customWidth="1"/>
    <col min="7413" max="7413" width="0" style="1" hidden="1" customWidth="1"/>
    <col min="7414" max="7414" width="18.5703125" style="1" customWidth="1"/>
    <col min="7415" max="7415" width="0" style="1" hidden="1" customWidth="1"/>
    <col min="7416" max="7416" width="12.28515625" style="1" customWidth="1"/>
    <col min="7417" max="7417" width="10.7109375" style="1" customWidth="1"/>
    <col min="7418" max="7650" width="10" style="1"/>
    <col min="7651" max="7652" width="26.140625" style="1" customWidth="1"/>
    <col min="7653" max="7660" width="0" style="1" hidden="1" customWidth="1"/>
    <col min="7661" max="7661" width="10.5703125" style="1" customWidth="1"/>
    <col min="7662" max="7667" width="0" style="1" hidden="1" customWidth="1"/>
    <col min="7668" max="7668" width="11.5703125" style="1" customWidth="1"/>
    <col min="7669" max="7669" width="0" style="1" hidden="1" customWidth="1"/>
    <col min="7670" max="7670" width="18.5703125" style="1" customWidth="1"/>
    <col min="7671" max="7671" width="0" style="1" hidden="1" customWidth="1"/>
    <col min="7672" max="7672" width="12.28515625" style="1" customWidth="1"/>
    <col min="7673" max="7673" width="10.7109375" style="1" customWidth="1"/>
    <col min="7674" max="7906" width="10" style="1"/>
    <col min="7907" max="7908" width="26.140625" style="1" customWidth="1"/>
    <col min="7909" max="7916" width="0" style="1" hidden="1" customWidth="1"/>
    <col min="7917" max="7917" width="10.5703125" style="1" customWidth="1"/>
    <col min="7918" max="7923" width="0" style="1" hidden="1" customWidth="1"/>
    <col min="7924" max="7924" width="11.5703125" style="1" customWidth="1"/>
    <col min="7925" max="7925" width="0" style="1" hidden="1" customWidth="1"/>
    <col min="7926" max="7926" width="18.5703125" style="1" customWidth="1"/>
    <col min="7927" max="7927" width="0" style="1" hidden="1" customWidth="1"/>
    <col min="7928" max="7928" width="12.28515625" style="1" customWidth="1"/>
    <col min="7929" max="7929" width="10.7109375" style="1" customWidth="1"/>
    <col min="7930" max="8162" width="10" style="1"/>
    <col min="8163" max="8164" width="26.140625" style="1" customWidth="1"/>
    <col min="8165" max="8172" width="0" style="1" hidden="1" customWidth="1"/>
    <col min="8173" max="8173" width="10.5703125" style="1" customWidth="1"/>
    <col min="8174" max="8179" width="0" style="1" hidden="1" customWidth="1"/>
    <col min="8180" max="8180" width="11.5703125" style="1" customWidth="1"/>
    <col min="8181" max="8181" width="0" style="1" hidden="1" customWidth="1"/>
    <col min="8182" max="8182" width="18.5703125" style="1" customWidth="1"/>
    <col min="8183" max="8183" width="0" style="1" hidden="1" customWidth="1"/>
    <col min="8184" max="8184" width="12.28515625" style="1" customWidth="1"/>
    <col min="8185" max="8185" width="10.7109375" style="1" customWidth="1"/>
    <col min="8186" max="8418" width="10" style="1"/>
    <col min="8419" max="8420" width="26.140625" style="1" customWidth="1"/>
    <col min="8421" max="8428" width="0" style="1" hidden="1" customWidth="1"/>
    <col min="8429" max="8429" width="10.5703125" style="1" customWidth="1"/>
    <col min="8430" max="8435" width="0" style="1" hidden="1" customWidth="1"/>
    <col min="8436" max="8436" width="11.5703125" style="1" customWidth="1"/>
    <col min="8437" max="8437" width="0" style="1" hidden="1" customWidth="1"/>
    <col min="8438" max="8438" width="18.5703125" style="1" customWidth="1"/>
    <col min="8439" max="8439" width="0" style="1" hidden="1" customWidth="1"/>
    <col min="8440" max="8440" width="12.28515625" style="1" customWidth="1"/>
    <col min="8441" max="8441" width="10.7109375" style="1" customWidth="1"/>
    <col min="8442" max="8674" width="10" style="1"/>
    <col min="8675" max="8676" width="26.140625" style="1" customWidth="1"/>
    <col min="8677" max="8684" width="0" style="1" hidden="1" customWidth="1"/>
    <col min="8685" max="8685" width="10.5703125" style="1" customWidth="1"/>
    <col min="8686" max="8691" width="0" style="1" hidden="1" customWidth="1"/>
    <col min="8692" max="8692" width="11.5703125" style="1" customWidth="1"/>
    <col min="8693" max="8693" width="0" style="1" hidden="1" customWidth="1"/>
    <col min="8694" max="8694" width="18.5703125" style="1" customWidth="1"/>
    <col min="8695" max="8695" width="0" style="1" hidden="1" customWidth="1"/>
    <col min="8696" max="8696" width="12.28515625" style="1" customWidth="1"/>
    <col min="8697" max="8697" width="10.7109375" style="1" customWidth="1"/>
    <col min="8698" max="8930" width="10" style="1"/>
    <col min="8931" max="8932" width="26.140625" style="1" customWidth="1"/>
    <col min="8933" max="8940" width="0" style="1" hidden="1" customWidth="1"/>
    <col min="8941" max="8941" width="10.5703125" style="1" customWidth="1"/>
    <col min="8942" max="8947" width="0" style="1" hidden="1" customWidth="1"/>
    <col min="8948" max="8948" width="11.5703125" style="1" customWidth="1"/>
    <col min="8949" max="8949" width="0" style="1" hidden="1" customWidth="1"/>
    <col min="8950" max="8950" width="18.5703125" style="1" customWidth="1"/>
    <col min="8951" max="8951" width="0" style="1" hidden="1" customWidth="1"/>
    <col min="8952" max="8952" width="12.28515625" style="1" customWidth="1"/>
    <col min="8953" max="8953" width="10.7109375" style="1" customWidth="1"/>
    <col min="8954" max="9186" width="10" style="1"/>
    <col min="9187" max="9188" width="26.140625" style="1" customWidth="1"/>
    <col min="9189" max="9196" width="0" style="1" hidden="1" customWidth="1"/>
    <col min="9197" max="9197" width="10.5703125" style="1" customWidth="1"/>
    <col min="9198" max="9203" width="0" style="1" hidden="1" customWidth="1"/>
    <col min="9204" max="9204" width="11.5703125" style="1" customWidth="1"/>
    <col min="9205" max="9205" width="0" style="1" hidden="1" customWidth="1"/>
    <col min="9206" max="9206" width="18.5703125" style="1" customWidth="1"/>
    <col min="9207" max="9207" width="0" style="1" hidden="1" customWidth="1"/>
    <col min="9208" max="9208" width="12.28515625" style="1" customWidth="1"/>
    <col min="9209" max="9209" width="10.7109375" style="1" customWidth="1"/>
    <col min="9210" max="9442" width="10" style="1"/>
    <col min="9443" max="9444" width="26.140625" style="1" customWidth="1"/>
    <col min="9445" max="9452" width="0" style="1" hidden="1" customWidth="1"/>
    <col min="9453" max="9453" width="10.5703125" style="1" customWidth="1"/>
    <col min="9454" max="9459" width="0" style="1" hidden="1" customWidth="1"/>
    <col min="9460" max="9460" width="11.5703125" style="1" customWidth="1"/>
    <col min="9461" max="9461" width="0" style="1" hidden="1" customWidth="1"/>
    <col min="9462" max="9462" width="18.5703125" style="1" customWidth="1"/>
    <col min="9463" max="9463" width="0" style="1" hidden="1" customWidth="1"/>
    <col min="9464" max="9464" width="12.28515625" style="1" customWidth="1"/>
    <col min="9465" max="9465" width="10.7109375" style="1" customWidth="1"/>
    <col min="9466" max="9698" width="10" style="1"/>
    <col min="9699" max="9700" width="26.140625" style="1" customWidth="1"/>
    <col min="9701" max="9708" width="0" style="1" hidden="1" customWidth="1"/>
    <col min="9709" max="9709" width="10.5703125" style="1" customWidth="1"/>
    <col min="9710" max="9715" width="0" style="1" hidden="1" customWidth="1"/>
    <col min="9716" max="9716" width="11.5703125" style="1" customWidth="1"/>
    <col min="9717" max="9717" width="0" style="1" hidden="1" customWidth="1"/>
    <col min="9718" max="9718" width="18.5703125" style="1" customWidth="1"/>
    <col min="9719" max="9719" width="0" style="1" hidden="1" customWidth="1"/>
    <col min="9720" max="9720" width="12.28515625" style="1" customWidth="1"/>
    <col min="9721" max="9721" width="10.7109375" style="1" customWidth="1"/>
    <col min="9722" max="9954" width="10" style="1"/>
    <col min="9955" max="9956" width="26.140625" style="1" customWidth="1"/>
    <col min="9957" max="9964" width="0" style="1" hidden="1" customWidth="1"/>
    <col min="9965" max="9965" width="10.5703125" style="1" customWidth="1"/>
    <col min="9966" max="9971" width="0" style="1" hidden="1" customWidth="1"/>
    <col min="9972" max="9972" width="11.5703125" style="1" customWidth="1"/>
    <col min="9973" max="9973" width="0" style="1" hidden="1" customWidth="1"/>
    <col min="9974" max="9974" width="18.5703125" style="1" customWidth="1"/>
    <col min="9975" max="9975" width="0" style="1" hidden="1" customWidth="1"/>
    <col min="9976" max="9976" width="12.28515625" style="1" customWidth="1"/>
    <col min="9977" max="9977" width="10.7109375" style="1" customWidth="1"/>
    <col min="9978" max="10210" width="10" style="1"/>
    <col min="10211" max="10212" width="26.140625" style="1" customWidth="1"/>
    <col min="10213" max="10220" width="0" style="1" hidden="1" customWidth="1"/>
    <col min="10221" max="10221" width="10.5703125" style="1" customWidth="1"/>
    <col min="10222" max="10227" width="0" style="1" hidden="1" customWidth="1"/>
    <col min="10228" max="10228" width="11.5703125" style="1" customWidth="1"/>
    <col min="10229" max="10229" width="0" style="1" hidden="1" customWidth="1"/>
    <col min="10230" max="10230" width="18.5703125" style="1" customWidth="1"/>
    <col min="10231" max="10231" width="0" style="1" hidden="1" customWidth="1"/>
    <col min="10232" max="10232" width="12.28515625" style="1" customWidth="1"/>
    <col min="10233" max="10233" width="10.7109375" style="1" customWidth="1"/>
    <col min="10234" max="10466" width="10" style="1"/>
    <col min="10467" max="10468" width="26.140625" style="1" customWidth="1"/>
    <col min="10469" max="10476" width="0" style="1" hidden="1" customWidth="1"/>
    <col min="10477" max="10477" width="10.5703125" style="1" customWidth="1"/>
    <col min="10478" max="10483" width="0" style="1" hidden="1" customWidth="1"/>
    <col min="10484" max="10484" width="11.5703125" style="1" customWidth="1"/>
    <col min="10485" max="10485" width="0" style="1" hidden="1" customWidth="1"/>
    <col min="10486" max="10486" width="18.5703125" style="1" customWidth="1"/>
    <col min="10487" max="10487" width="0" style="1" hidden="1" customWidth="1"/>
    <col min="10488" max="10488" width="12.28515625" style="1" customWidth="1"/>
    <col min="10489" max="10489" width="10.7109375" style="1" customWidth="1"/>
    <col min="10490" max="10722" width="10" style="1"/>
    <col min="10723" max="10724" width="26.140625" style="1" customWidth="1"/>
    <col min="10725" max="10732" width="0" style="1" hidden="1" customWidth="1"/>
    <col min="10733" max="10733" width="10.5703125" style="1" customWidth="1"/>
    <col min="10734" max="10739" width="0" style="1" hidden="1" customWidth="1"/>
    <col min="10740" max="10740" width="11.5703125" style="1" customWidth="1"/>
    <col min="10741" max="10741" width="0" style="1" hidden="1" customWidth="1"/>
    <col min="10742" max="10742" width="18.5703125" style="1" customWidth="1"/>
    <col min="10743" max="10743" width="0" style="1" hidden="1" customWidth="1"/>
    <col min="10744" max="10744" width="12.28515625" style="1" customWidth="1"/>
    <col min="10745" max="10745" width="10.7109375" style="1" customWidth="1"/>
    <col min="10746" max="10978" width="10" style="1"/>
    <col min="10979" max="10980" width="26.140625" style="1" customWidth="1"/>
    <col min="10981" max="10988" width="0" style="1" hidden="1" customWidth="1"/>
    <col min="10989" max="10989" width="10.5703125" style="1" customWidth="1"/>
    <col min="10990" max="10995" width="0" style="1" hidden="1" customWidth="1"/>
    <col min="10996" max="10996" width="11.5703125" style="1" customWidth="1"/>
    <col min="10997" max="10997" width="0" style="1" hidden="1" customWidth="1"/>
    <col min="10998" max="10998" width="18.5703125" style="1" customWidth="1"/>
    <col min="10999" max="10999" width="0" style="1" hidden="1" customWidth="1"/>
    <col min="11000" max="11000" width="12.28515625" style="1" customWidth="1"/>
    <col min="11001" max="11001" width="10.7109375" style="1" customWidth="1"/>
    <col min="11002" max="11234" width="10" style="1"/>
    <col min="11235" max="11236" width="26.140625" style="1" customWidth="1"/>
    <col min="11237" max="11244" width="0" style="1" hidden="1" customWidth="1"/>
    <col min="11245" max="11245" width="10.5703125" style="1" customWidth="1"/>
    <col min="11246" max="11251" width="0" style="1" hidden="1" customWidth="1"/>
    <col min="11252" max="11252" width="11.5703125" style="1" customWidth="1"/>
    <col min="11253" max="11253" width="0" style="1" hidden="1" customWidth="1"/>
    <col min="11254" max="11254" width="18.5703125" style="1" customWidth="1"/>
    <col min="11255" max="11255" width="0" style="1" hidden="1" customWidth="1"/>
    <col min="11256" max="11256" width="12.28515625" style="1" customWidth="1"/>
    <col min="11257" max="11257" width="10.7109375" style="1" customWidth="1"/>
    <col min="11258" max="11490" width="10" style="1"/>
    <col min="11491" max="11492" width="26.140625" style="1" customWidth="1"/>
    <col min="11493" max="11500" width="0" style="1" hidden="1" customWidth="1"/>
    <col min="11501" max="11501" width="10.5703125" style="1" customWidth="1"/>
    <col min="11502" max="11507" width="0" style="1" hidden="1" customWidth="1"/>
    <col min="11508" max="11508" width="11.5703125" style="1" customWidth="1"/>
    <col min="11509" max="11509" width="0" style="1" hidden="1" customWidth="1"/>
    <col min="11510" max="11510" width="18.5703125" style="1" customWidth="1"/>
    <col min="11511" max="11511" width="0" style="1" hidden="1" customWidth="1"/>
    <col min="11512" max="11512" width="12.28515625" style="1" customWidth="1"/>
    <col min="11513" max="11513" width="10.7109375" style="1" customWidth="1"/>
    <col min="11514" max="11746" width="10" style="1"/>
    <col min="11747" max="11748" width="26.140625" style="1" customWidth="1"/>
    <col min="11749" max="11756" width="0" style="1" hidden="1" customWidth="1"/>
    <col min="11757" max="11757" width="10.5703125" style="1" customWidth="1"/>
    <col min="11758" max="11763" width="0" style="1" hidden="1" customWidth="1"/>
    <col min="11764" max="11764" width="11.5703125" style="1" customWidth="1"/>
    <col min="11765" max="11765" width="0" style="1" hidden="1" customWidth="1"/>
    <col min="11766" max="11766" width="18.5703125" style="1" customWidth="1"/>
    <col min="11767" max="11767" width="0" style="1" hidden="1" customWidth="1"/>
    <col min="11768" max="11768" width="12.28515625" style="1" customWidth="1"/>
    <col min="11769" max="11769" width="10.7109375" style="1" customWidth="1"/>
    <col min="11770" max="12002" width="10" style="1"/>
    <col min="12003" max="12004" width="26.140625" style="1" customWidth="1"/>
    <col min="12005" max="12012" width="0" style="1" hidden="1" customWidth="1"/>
    <col min="12013" max="12013" width="10.5703125" style="1" customWidth="1"/>
    <col min="12014" max="12019" width="0" style="1" hidden="1" customWidth="1"/>
    <col min="12020" max="12020" width="11.5703125" style="1" customWidth="1"/>
    <col min="12021" max="12021" width="0" style="1" hidden="1" customWidth="1"/>
    <col min="12022" max="12022" width="18.5703125" style="1" customWidth="1"/>
    <col min="12023" max="12023" width="0" style="1" hidden="1" customWidth="1"/>
    <col min="12024" max="12024" width="12.28515625" style="1" customWidth="1"/>
    <col min="12025" max="12025" width="10.7109375" style="1" customWidth="1"/>
    <col min="12026" max="12258" width="10" style="1"/>
    <col min="12259" max="12260" width="26.140625" style="1" customWidth="1"/>
    <col min="12261" max="12268" width="0" style="1" hidden="1" customWidth="1"/>
    <col min="12269" max="12269" width="10.5703125" style="1" customWidth="1"/>
    <col min="12270" max="12275" width="0" style="1" hidden="1" customWidth="1"/>
    <col min="12276" max="12276" width="11.5703125" style="1" customWidth="1"/>
    <col min="12277" max="12277" width="0" style="1" hidden="1" customWidth="1"/>
    <col min="12278" max="12278" width="18.5703125" style="1" customWidth="1"/>
    <col min="12279" max="12279" width="0" style="1" hidden="1" customWidth="1"/>
    <col min="12280" max="12280" width="12.28515625" style="1" customWidth="1"/>
    <col min="12281" max="12281" width="10.7109375" style="1" customWidth="1"/>
    <col min="12282" max="12514" width="10" style="1"/>
    <col min="12515" max="12516" width="26.140625" style="1" customWidth="1"/>
    <col min="12517" max="12524" width="0" style="1" hidden="1" customWidth="1"/>
    <col min="12525" max="12525" width="10.5703125" style="1" customWidth="1"/>
    <col min="12526" max="12531" width="0" style="1" hidden="1" customWidth="1"/>
    <col min="12532" max="12532" width="11.5703125" style="1" customWidth="1"/>
    <col min="12533" max="12533" width="0" style="1" hidden="1" customWidth="1"/>
    <col min="12534" max="12534" width="18.5703125" style="1" customWidth="1"/>
    <col min="12535" max="12535" width="0" style="1" hidden="1" customWidth="1"/>
    <col min="12536" max="12536" width="12.28515625" style="1" customWidth="1"/>
    <col min="12537" max="12537" width="10.7109375" style="1" customWidth="1"/>
    <col min="12538" max="12770" width="10" style="1"/>
    <col min="12771" max="12772" width="26.140625" style="1" customWidth="1"/>
    <col min="12773" max="12780" width="0" style="1" hidden="1" customWidth="1"/>
    <col min="12781" max="12781" width="10.5703125" style="1" customWidth="1"/>
    <col min="12782" max="12787" width="0" style="1" hidden="1" customWidth="1"/>
    <col min="12788" max="12788" width="11.5703125" style="1" customWidth="1"/>
    <col min="12789" max="12789" width="0" style="1" hidden="1" customWidth="1"/>
    <col min="12790" max="12790" width="18.5703125" style="1" customWidth="1"/>
    <col min="12791" max="12791" width="0" style="1" hidden="1" customWidth="1"/>
    <col min="12792" max="12792" width="12.28515625" style="1" customWidth="1"/>
    <col min="12793" max="12793" width="10.7109375" style="1" customWidth="1"/>
    <col min="12794" max="13026" width="10" style="1"/>
    <col min="13027" max="13028" width="26.140625" style="1" customWidth="1"/>
    <col min="13029" max="13036" width="0" style="1" hidden="1" customWidth="1"/>
    <col min="13037" max="13037" width="10.5703125" style="1" customWidth="1"/>
    <col min="13038" max="13043" width="0" style="1" hidden="1" customWidth="1"/>
    <col min="13044" max="13044" width="11.5703125" style="1" customWidth="1"/>
    <col min="13045" max="13045" width="0" style="1" hidden="1" customWidth="1"/>
    <col min="13046" max="13046" width="18.5703125" style="1" customWidth="1"/>
    <col min="13047" max="13047" width="0" style="1" hidden="1" customWidth="1"/>
    <col min="13048" max="13048" width="12.28515625" style="1" customWidth="1"/>
    <col min="13049" max="13049" width="10.7109375" style="1" customWidth="1"/>
    <col min="13050" max="13282" width="10" style="1"/>
    <col min="13283" max="13284" width="26.140625" style="1" customWidth="1"/>
    <col min="13285" max="13292" width="0" style="1" hidden="1" customWidth="1"/>
    <col min="13293" max="13293" width="10.5703125" style="1" customWidth="1"/>
    <col min="13294" max="13299" width="0" style="1" hidden="1" customWidth="1"/>
    <col min="13300" max="13300" width="11.5703125" style="1" customWidth="1"/>
    <col min="13301" max="13301" width="0" style="1" hidden="1" customWidth="1"/>
    <col min="13302" max="13302" width="18.5703125" style="1" customWidth="1"/>
    <col min="13303" max="13303" width="0" style="1" hidden="1" customWidth="1"/>
    <col min="13304" max="13304" width="12.28515625" style="1" customWidth="1"/>
    <col min="13305" max="13305" width="10.7109375" style="1" customWidth="1"/>
    <col min="13306" max="13538" width="10" style="1"/>
    <col min="13539" max="13540" width="26.140625" style="1" customWidth="1"/>
    <col min="13541" max="13548" width="0" style="1" hidden="1" customWidth="1"/>
    <col min="13549" max="13549" width="10.5703125" style="1" customWidth="1"/>
    <col min="13550" max="13555" width="0" style="1" hidden="1" customWidth="1"/>
    <col min="13556" max="13556" width="11.5703125" style="1" customWidth="1"/>
    <col min="13557" max="13557" width="0" style="1" hidden="1" customWidth="1"/>
    <col min="13558" max="13558" width="18.5703125" style="1" customWidth="1"/>
    <col min="13559" max="13559" width="0" style="1" hidden="1" customWidth="1"/>
    <col min="13560" max="13560" width="12.28515625" style="1" customWidth="1"/>
    <col min="13561" max="13561" width="10.7109375" style="1" customWidth="1"/>
    <col min="13562" max="13794" width="10" style="1"/>
    <col min="13795" max="13796" width="26.140625" style="1" customWidth="1"/>
    <col min="13797" max="13804" width="0" style="1" hidden="1" customWidth="1"/>
    <col min="13805" max="13805" width="10.5703125" style="1" customWidth="1"/>
    <col min="13806" max="13811" width="0" style="1" hidden="1" customWidth="1"/>
    <col min="13812" max="13812" width="11.5703125" style="1" customWidth="1"/>
    <col min="13813" max="13813" width="0" style="1" hidden="1" customWidth="1"/>
    <col min="13814" max="13814" width="18.5703125" style="1" customWidth="1"/>
    <col min="13815" max="13815" width="0" style="1" hidden="1" customWidth="1"/>
    <col min="13816" max="13816" width="12.28515625" style="1" customWidth="1"/>
    <col min="13817" max="13817" width="10.7109375" style="1" customWidth="1"/>
    <col min="13818" max="14050" width="10" style="1"/>
    <col min="14051" max="14052" width="26.140625" style="1" customWidth="1"/>
    <col min="14053" max="14060" width="0" style="1" hidden="1" customWidth="1"/>
    <col min="14061" max="14061" width="10.5703125" style="1" customWidth="1"/>
    <col min="14062" max="14067" width="0" style="1" hidden="1" customWidth="1"/>
    <col min="14068" max="14068" width="11.5703125" style="1" customWidth="1"/>
    <col min="14069" max="14069" width="0" style="1" hidden="1" customWidth="1"/>
    <col min="14070" max="14070" width="18.5703125" style="1" customWidth="1"/>
    <col min="14071" max="14071" width="0" style="1" hidden="1" customWidth="1"/>
    <col min="14072" max="14072" width="12.28515625" style="1" customWidth="1"/>
    <col min="14073" max="14073" width="10.7109375" style="1" customWidth="1"/>
    <col min="14074" max="14306" width="10" style="1"/>
    <col min="14307" max="14308" width="26.140625" style="1" customWidth="1"/>
    <col min="14309" max="14316" width="0" style="1" hidden="1" customWidth="1"/>
    <col min="14317" max="14317" width="10.5703125" style="1" customWidth="1"/>
    <col min="14318" max="14323" width="0" style="1" hidden="1" customWidth="1"/>
    <col min="14324" max="14324" width="11.5703125" style="1" customWidth="1"/>
    <col min="14325" max="14325" width="0" style="1" hidden="1" customWidth="1"/>
    <col min="14326" max="14326" width="18.5703125" style="1" customWidth="1"/>
    <col min="14327" max="14327" width="0" style="1" hidden="1" customWidth="1"/>
    <col min="14328" max="14328" width="12.28515625" style="1" customWidth="1"/>
    <col min="14329" max="14329" width="10.7109375" style="1" customWidth="1"/>
    <col min="14330" max="14562" width="10" style="1"/>
    <col min="14563" max="14564" width="26.140625" style="1" customWidth="1"/>
    <col min="14565" max="14572" width="0" style="1" hidden="1" customWidth="1"/>
    <col min="14573" max="14573" width="10.5703125" style="1" customWidth="1"/>
    <col min="14574" max="14579" width="0" style="1" hidden="1" customWidth="1"/>
    <col min="14580" max="14580" width="11.5703125" style="1" customWidth="1"/>
    <col min="14581" max="14581" width="0" style="1" hidden="1" customWidth="1"/>
    <col min="14582" max="14582" width="18.5703125" style="1" customWidth="1"/>
    <col min="14583" max="14583" width="0" style="1" hidden="1" customWidth="1"/>
    <col min="14584" max="14584" width="12.28515625" style="1" customWidth="1"/>
    <col min="14585" max="14585" width="10.7109375" style="1" customWidth="1"/>
    <col min="14586" max="14818" width="10" style="1"/>
    <col min="14819" max="14820" width="26.140625" style="1" customWidth="1"/>
    <col min="14821" max="14828" width="0" style="1" hidden="1" customWidth="1"/>
    <col min="14829" max="14829" width="10.5703125" style="1" customWidth="1"/>
    <col min="14830" max="14835" width="0" style="1" hidden="1" customWidth="1"/>
    <col min="14836" max="14836" width="11.5703125" style="1" customWidth="1"/>
    <col min="14837" max="14837" width="0" style="1" hidden="1" customWidth="1"/>
    <col min="14838" max="14838" width="18.5703125" style="1" customWidth="1"/>
    <col min="14839" max="14839" width="0" style="1" hidden="1" customWidth="1"/>
    <col min="14840" max="14840" width="12.28515625" style="1" customWidth="1"/>
    <col min="14841" max="14841" width="10.7109375" style="1" customWidth="1"/>
    <col min="14842" max="15074" width="10" style="1"/>
    <col min="15075" max="15076" width="26.140625" style="1" customWidth="1"/>
    <col min="15077" max="15084" width="0" style="1" hidden="1" customWidth="1"/>
    <col min="15085" max="15085" width="10.5703125" style="1" customWidth="1"/>
    <col min="15086" max="15091" width="0" style="1" hidden="1" customWidth="1"/>
    <col min="15092" max="15092" width="11.5703125" style="1" customWidth="1"/>
    <col min="15093" max="15093" width="0" style="1" hidden="1" customWidth="1"/>
    <col min="15094" max="15094" width="18.5703125" style="1" customWidth="1"/>
    <col min="15095" max="15095" width="0" style="1" hidden="1" customWidth="1"/>
    <col min="15096" max="15096" width="12.28515625" style="1" customWidth="1"/>
    <col min="15097" max="15097" width="10.7109375" style="1" customWidth="1"/>
    <col min="15098" max="15330" width="10" style="1"/>
    <col min="15331" max="15332" width="26.140625" style="1" customWidth="1"/>
    <col min="15333" max="15340" width="0" style="1" hidden="1" customWidth="1"/>
    <col min="15341" max="15341" width="10.5703125" style="1" customWidth="1"/>
    <col min="15342" max="15347" width="0" style="1" hidden="1" customWidth="1"/>
    <col min="15348" max="15348" width="11.5703125" style="1" customWidth="1"/>
    <col min="15349" max="15349" width="0" style="1" hidden="1" customWidth="1"/>
    <col min="15350" max="15350" width="18.5703125" style="1" customWidth="1"/>
    <col min="15351" max="15351" width="0" style="1" hidden="1" customWidth="1"/>
    <col min="15352" max="15352" width="12.28515625" style="1" customWidth="1"/>
    <col min="15353" max="15353" width="10.7109375" style="1" customWidth="1"/>
    <col min="15354" max="15586" width="10" style="1"/>
    <col min="15587" max="15588" width="26.140625" style="1" customWidth="1"/>
    <col min="15589" max="15596" width="0" style="1" hidden="1" customWidth="1"/>
    <col min="15597" max="15597" width="10.5703125" style="1" customWidth="1"/>
    <col min="15598" max="15603" width="0" style="1" hidden="1" customWidth="1"/>
    <col min="15604" max="15604" width="11.5703125" style="1" customWidth="1"/>
    <col min="15605" max="15605" width="0" style="1" hidden="1" customWidth="1"/>
    <col min="15606" max="15606" width="18.5703125" style="1" customWidth="1"/>
    <col min="15607" max="15607" width="0" style="1" hidden="1" customWidth="1"/>
    <col min="15608" max="15608" width="12.28515625" style="1" customWidth="1"/>
    <col min="15609" max="15609" width="10.7109375" style="1" customWidth="1"/>
    <col min="15610" max="15842" width="10" style="1"/>
    <col min="15843" max="15844" width="26.140625" style="1" customWidth="1"/>
    <col min="15845" max="15852" width="0" style="1" hidden="1" customWidth="1"/>
    <col min="15853" max="15853" width="10.5703125" style="1" customWidth="1"/>
    <col min="15854" max="15859" width="0" style="1" hidden="1" customWidth="1"/>
    <col min="15860" max="15860" width="11.5703125" style="1" customWidth="1"/>
    <col min="15861" max="15861" width="0" style="1" hidden="1" customWidth="1"/>
    <col min="15862" max="15862" width="18.5703125" style="1" customWidth="1"/>
    <col min="15863" max="15863" width="0" style="1" hidden="1" customWidth="1"/>
    <col min="15864" max="15864" width="12.28515625" style="1" customWidth="1"/>
    <col min="15865" max="15865" width="10.7109375" style="1" customWidth="1"/>
    <col min="15866" max="16098" width="10" style="1"/>
    <col min="16099" max="16100" width="26.140625" style="1" customWidth="1"/>
    <col min="16101" max="16108" width="0" style="1" hidden="1" customWidth="1"/>
    <col min="16109" max="16109" width="10.5703125" style="1" customWidth="1"/>
    <col min="16110" max="16115" width="0" style="1" hidden="1" customWidth="1"/>
    <col min="16116" max="16116" width="11.5703125" style="1" customWidth="1"/>
    <col min="16117" max="16117" width="0" style="1" hidden="1" customWidth="1"/>
    <col min="16118" max="16118" width="18.5703125" style="1" customWidth="1"/>
    <col min="16119" max="16119" width="0" style="1" hidden="1" customWidth="1"/>
    <col min="16120" max="16120" width="12.28515625" style="1" customWidth="1"/>
    <col min="16121" max="16121" width="10.7109375" style="1" customWidth="1"/>
    <col min="16122" max="16384" width="10" style="1"/>
  </cols>
  <sheetData>
    <row r="1" spans="1:13" s="2" customFormat="1" ht="14.25" x14ac:dyDescent="0.25">
      <c r="A1" s="2" t="s">
        <v>0</v>
      </c>
      <c r="B1" s="3" t="s">
        <v>1</v>
      </c>
      <c r="C1" s="2" t="s">
        <v>2</v>
      </c>
      <c r="D1" s="4" t="s">
        <v>76</v>
      </c>
      <c r="E1" s="4" t="s">
        <v>77</v>
      </c>
      <c r="F1" s="4" t="s">
        <v>85</v>
      </c>
      <c r="G1" s="18" t="s">
        <v>84</v>
      </c>
      <c r="H1" s="2" t="s">
        <v>87</v>
      </c>
      <c r="I1" s="2" t="s">
        <v>88</v>
      </c>
      <c r="J1" s="2" t="s">
        <v>87</v>
      </c>
      <c r="L1" s="2" t="s">
        <v>92</v>
      </c>
      <c r="M1" s="2" t="s">
        <v>93</v>
      </c>
    </row>
    <row r="2" spans="1:13" x14ac:dyDescent="0.25">
      <c r="A2" s="1" t="s">
        <v>3</v>
      </c>
      <c r="B2" s="1">
        <v>20101533</v>
      </c>
      <c r="C2" s="1" t="s">
        <v>69</v>
      </c>
      <c r="D2" s="5">
        <f>Quiz!H15</f>
        <v>14.4375</v>
      </c>
      <c r="E2" s="5">
        <f>Midterm!E15</f>
        <v>35</v>
      </c>
      <c r="F2" s="5">
        <f>Final!E15</f>
        <v>36.800000000000004</v>
      </c>
      <c r="G2" s="19">
        <f>SUM(D2:F2)</f>
        <v>86.237500000000011</v>
      </c>
      <c r="H2" s="16">
        <v>0.57500000000001705</v>
      </c>
      <c r="I2" s="1">
        <v>86.237500000000011</v>
      </c>
      <c r="J2" s="16">
        <v>0.57500000000001705</v>
      </c>
      <c r="K2" s="1" t="s">
        <v>90</v>
      </c>
      <c r="L2" s="1">
        <v>16</v>
      </c>
    </row>
    <row r="3" spans="1:13" x14ac:dyDescent="0.25">
      <c r="A3" s="1" t="s">
        <v>3</v>
      </c>
      <c r="B3" s="1">
        <v>20104361</v>
      </c>
      <c r="C3" s="1" t="s">
        <v>49</v>
      </c>
      <c r="D3" s="5">
        <f>Quiz!H43</f>
        <v>14.0625</v>
      </c>
      <c r="E3" s="5">
        <f>Midterm!E43</f>
        <v>35</v>
      </c>
      <c r="F3" s="5">
        <f>Final!E43</f>
        <v>36.6</v>
      </c>
      <c r="G3" s="19">
        <f>SUM(D3:F3)</f>
        <v>85.662499999999994</v>
      </c>
      <c r="H3" s="16">
        <v>0.58750000000000568</v>
      </c>
      <c r="I3" s="1">
        <v>85.662499999999994</v>
      </c>
      <c r="J3" s="16">
        <v>0.58750000000000568</v>
      </c>
      <c r="K3" s="1" t="s">
        <v>91</v>
      </c>
      <c r="L3" s="1">
        <v>19</v>
      </c>
    </row>
    <row r="4" spans="1:13" x14ac:dyDescent="0.25">
      <c r="A4" s="1" t="s">
        <v>3</v>
      </c>
      <c r="B4" s="1">
        <v>20103351</v>
      </c>
      <c r="C4" s="1" t="s">
        <v>30</v>
      </c>
      <c r="D4" s="5">
        <f>Quiz!H33</f>
        <v>13.875</v>
      </c>
      <c r="E4" s="5">
        <f>Midterm!E33</f>
        <v>33.6</v>
      </c>
      <c r="F4" s="5">
        <f>Final!E33</f>
        <v>37.599999999999994</v>
      </c>
      <c r="G4" s="19">
        <f>SUM(D4:F4)</f>
        <v>85.074999999999989</v>
      </c>
      <c r="H4" s="16">
        <v>0.27499999999997726</v>
      </c>
      <c r="I4" s="1">
        <v>85.074999999999989</v>
      </c>
      <c r="J4" s="16">
        <v>0.27499999999997726</v>
      </c>
    </row>
    <row r="5" spans="1:13" x14ac:dyDescent="0.25">
      <c r="A5" s="1" t="s">
        <v>3</v>
      </c>
      <c r="B5" s="1">
        <v>20100624</v>
      </c>
      <c r="C5" s="1" t="s">
        <v>47</v>
      </c>
      <c r="D5" s="5">
        <f>Quiz!H6</f>
        <v>15</v>
      </c>
      <c r="E5" s="5">
        <f>Midterm!E6</f>
        <v>33.6</v>
      </c>
      <c r="F5" s="5">
        <f>Final!E6</f>
        <v>36.200000000000003</v>
      </c>
      <c r="G5" s="19">
        <f>SUM(D5:F5)</f>
        <v>84.800000000000011</v>
      </c>
      <c r="H5" s="16">
        <v>0.17500000000001137</v>
      </c>
      <c r="I5" s="1">
        <v>84.800000000000011</v>
      </c>
      <c r="J5" s="16">
        <v>0.17500000000001137</v>
      </c>
    </row>
    <row r="6" spans="1:13" x14ac:dyDescent="0.25">
      <c r="A6" s="1" t="s">
        <v>3</v>
      </c>
      <c r="B6" s="1">
        <v>20105876</v>
      </c>
      <c r="C6" s="1" t="s">
        <v>42</v>
      </c>
      <c r="D6" s="5">
        <f>Quiz!H58</f>
        <v>14.625</v>
      </c>
      <c r="E6" s="5">
        <f>Midterm!E58</f>
        <v>33.6</v>
      </c>
      <c r="F6" s="5">
        <f>Final!E58</f>
        <v>36.4</v>
      </c>
      <c r="G6" s="19">
        <f>SUM(D6:F6)</f>
        <v>84.625</v>
      </c>
      <c r="H6" s="16">
        <v>0.22499999999999432</v>
      </c>
      <c r="I6" s="1">
        <v>84.625</v>
      </c>
      <c r="J6" s="16">
        <v>0.22499999999999432</v>
      </c>
    </row>
    <row r="7" spans="1:13" x14ac:dyDescent="0.25">
      <c r="A7" s="1" t="s">
        <v>3</v>
      </c>
      <c r="B7" s="1">
        <v>20106684</v>
      </c>
      <c r="C7" s="1" t="s">
        <v>57</v>
      </c>
      <c r="D7" s="5">
        <f>Quiz!H66</f>
        <v>15</v>
      </c>
      <c r="E7" s="5">
        <f>Midterm!E66</f>
        <v>32.200000000000003</v>
      </c>
      <c r="F7" s="5">
        <f>Final!E66</f>
        <v>37.200000000000003</v>
      </c>
      <c r="G7" s="19">
        <f>SUM(D7:F7)</f>
        <v>84.4</v>
      </c>
      <c r="H7" s="16">
        <v>0.20000000000000284</v>
      </c>
      <c r="I7" s="1">
        <v>84.4</v>
      </c>
      <c r="J7" s="16">
        <v>0.20000000000000284</v>
      </c>
    </row>
    <row r="8" spans="1:13" x14ac:dyDescent="0.25">
      <c r="A8" s="1" t="s">
        <v>3</v>
      </c>
      <c r="B8" s="1">
        <v>20104159</v>
      </c>
      <c r="C8" s="1" t="s">
        <v>29</v>
      </c>
      <c r="D8" s="5">
        <f>Quiz!H41</f>
        <v>15</v>
      </c>
      <c r="E8" s="5">
        <f>Midterm!E41</f>
        <v>33.6</v>
      </c>
      <c r="F8" s="5">
        <f>Final!E41</f>
        <v>35.6</v>
      </c>
      <c r="G8" s="19">
        <f>SUM(D8:F8)</f>
        <v>84.2</v>
      </c>
      <c r="H8" s="16">
        <v>0.96249999999999147</v>
      </c>
      <c r="I8" s="1">
        <v>84.2</v>
      </c>
      <c r="J8" s="16">
        <v>0.96249999999999147</v>
      </c>
    </row>
    <row r="9" spans="1:13" x14ac:dyDescent="0.25">
      <c r="A9" s="1" t="s">
        <v>3</v>
      </c>
      <c r="B9" s="1">
        <v>20106381</v>
      </c>
      <c r="C9" s="1" t="s">
        <v>43</v>
      </c>
      <c r="D9" s="5">
        <f>Quiz!H63</f>
        <v>14.4375</v>
      </c>
      <c r="E9" s="5">
        <f>Midterm!E63</f>
        <v>33.6</v>
      </c>
      <c r="F9" s="5">
        <f>Final!E63</f>
        <v>35.200000000000003</v>
      </c>
      <c r="G9" s="19">
        <f>SUM(D9:F9)</f>
        <v>83.237500000000011</v>
      </c>
      <c r="H9" s="16">
        <v>0.98750000000001137</v>
      </c>
      <c r="I9" s="1">
        <v>83.237500000000011</v>
      </c>
      <c r="J9" s="16">
        <v>0.98750000000001137</v>
      </c>
    </row>
    <row r="10" spans="1:13" x14ac:dyDescent="0.25">
      <c r="A10" s="1" t="s">
        <v>3</v>
      </c>
      <c r="B10" s="1">
        <v>20100725</v>
      </c>
      <c r="C10" s="14" t="s">
        <v>12</v>
      </c>
      <c r="D10" s="5">
        <f>Quiz!H7</f>
        <v>14.25</v>
      </c>
      <c r="E10" s="5">
        <f>Midterm!E7</f>
        <v>32.200000000000003</v>
      </c>
      <c r="F10" s="5">
        <f>Final!E7</f>
        <v>35.799999999999997</v>
      </c>
      <c r="G10" s="19">
        <f>SUM(D10:F10)</f>
        <v>82.25</v>
      </c>
      <c r="H10" s="16">
        <v>0.63749999999998863</v>
      </c>
      <c r="I10" s="1">
        <v>82.25</v>
      </c>
      <c r="J10" s="16">
        <v>0.63749999999998863</v>
      </c>
    </row>
    <row r="11" spans="1:13" x14ac:dyDescent="0.25">
      <c r="A11" s="1" t="s">
        <v>3</v>
      </c>
      <c r="B11" s="1">
        <v>20102644</v>
      </c>
      <c r="C11" s="14" t="s">
        <v>18</v>
      </c>
      <c r="D11" s="5">
        <f>Quiz!H26</f>
        <v>14.8125</v>
      </c>
      <c r="E11" s="5">
        <f>Midterm!E26</f>
        <v>32.200000000000003</v>
      </c>
      <c r="F11" s="5">
        <f>Final!E26</f>
        <v>34.6</v>
      </c>
      <c r="G11" s="19">
        <f>SUM(D11:F11)</f>
        <v>81.612500000000011</v>
      </c>
      <c r="H11" s="16">
        <v>0.16250000000000853</v>
      </c>
      <c r="I11" s="1">
        <v>81.612500000000011</v>
      </c>
      <c r="J11" s="16">
        <v>0.16250000000000853</v>
      </c>
    </row>
    <row r="12" spans="1:13" x14ac:dyDescent="0.25">
      <c r="A12" s="1" t="s">
        <v>3</v>
      </c>
      <c r="B12" s="1">
        <v>20106280</v>
      </c>
      <c r="C12" s="14" t="s">
        <v>5</v>
      </c>
      <c r="D12" s="5">
        <f>Quiz!H62</f>
        <v>14.25</v>
      </c>
      <c r="E12" s="5">
        <f>Midterm!E62</f>
        <v>33.6</v>
      </c>
      <c r="F12" s="5">
        <f>Final!E62</f>
        <v>33.6</v>
      </c>
      <c r="G12" s="19">
        <f>SUM(D12:F12)</f>
        <v>81.45</v>
      </c>
      <c r="H12" s="16">
        <v>0.13750000000000284</v>
      </c>
      <c r="I12" s="1">
        <v>81.45</v>
      </c>
      <c r="J12" s="16">
        <v>0.13750000000000284</v>
      </c>
    </row>
    <row r="13" spans="1:13" x14ac:dyDescent="0.25">
      <c r="A13" s="1" t="s">
        <v>3</v>
      </c>
      <c r="B13" s="1">
        <v>20105977</v>
      </c>
      <c r="C13" s="14" t="s">
        <v>9</v>
      </c>
      <c r="D13" s="5">
        <f>Quiz!H59</f>
        <v>14.512500000000001</v>
      </c>
      <c r="E13" s="5">
        <f>Midterm!E59</f>
        <v>30.8</v>
      </c>
      <c r="F13" s="5">
        <f>Final!E59</f>
        <v>36</v>
      </c>
      <c r="G13" s="19">
        <f>SUM(D13:F13)</f>
        <v>81.3125</v>
      </c>
      <c r="H13" s="16">
        <v>0.46250000000000568</v>
      </c>
      <c r="I13" s="1">
        <v>81.3125</v>
      </c>
      <c r="J13" s="16">
        <v>0.46250000000000568</v>
      </c>
    </row>
    <row r="14" spans="1:13" x14ac:dyDescent="0.25">
      <c r="A14" s="1" t="s">
        <v>3</v>
      </c>
      <c r="B14" s="1">
        <v>20106583</v>
      </c>
      <c r="C14" s="14" t="s">
        <v>8</v>
      </c>
      <c r="D14" s="5">
        <f>Quiz!H65</f>
        <v>14.25</v>
      </c>
      <c r="E14" s="5">
        <f>Midterm!E65</f>
        <v>29.4</v>
      </c>
      <c r="F14" s="5">
        <f>Final!E65</f>
        <v>37.200000000000003</v>
      </c>
      <c r="G14" s="19">
        <f>SUM(D14:F14)</f>
        <v>80.849999999999994</v>
      </c>
      <c r="H14" s="16">
        <v>3.7499999999994316E-2</v>
      </c>
      <c r="I14" s="1">
        <v>80.849999999999994</v>
      </c>
      <c r="J14" s="16">
        <v>3.7499999999994316E-2</v>
      </c>
    </row>
    <row r="15" spans="1:13" x14ac:dyDescent="0.25">
      <c r="A15" s="1" t="s">
        <v>3</v>
      </c>
      <c r="B15" s="1">
        <v>20102947</v>
      </c>
      <c r="C15" s="14" t="s">
        <v>16</v>
      </c>
      <c r="D15" s="5">
        <f>Quiz!H29</f>
        <v>12.4125</v>
      </c>
      <c r="E15" s="5">
        <f>Midterm!E29</f>
        <v>30.8</v>
      </c>
      <c r="F15" s="5">
        <f>Final!E29</f>
        <v>37.599999999999994</v>
      </c>
      <c r="G15" s="19">
        <f>SUM(D15:F15)</f>
        <v>80.8125</v>
      </c>
      <c r="H15" s="16">
        <v>0.16249999999999432</v>
      </c>
      <c r="I15" s="1">
        <v>80.8125</v>
      </c>
      <c r="J15" s="16">
        <v>0.16249999999999432</v>
      </c>
    </row>
    <row r="16" spans="1:13" x14ac:dyDescent="0.25">
      <c r="A16" s="1" t="s">
        <v>3</v>
      </c>
      <c r="B16" s="1">
        <v>20100826</v>
      </c>
      <c r="C16" s="1" t="s">
        <v>66</v>
      </c>
      <c r="D16" s="5">
        <f>Quiz!H8</f>
        <v>11.25</v>
      </c>
      <c r="E16" s="5">
        <f>Midterm!E8</f>
        <v>32.200000000000003</v>
      </c>
      <c r="F16" s="5">
        <f>Final!E8</f>
        <v>37.200000000000003</v>
      </c>
      <c r="G16" s="19">
        <f>SUM(D16:F16)</f>
        <v>80.650000000000006</v>
      </c>
      <c r="H16" s="16">
        <v>0</v>
      </c>
      <c r="I16" s="1">
        <v>80.650000000000006</v>
      </c>
      <c r="J16" s="16">
        <v>0</v>
      </c>
    </row>
    <row r="17" spans="1:10" x14ac:dyDescent="0.25">
      <c r="A17" s="1" t="s">
        <v>3</v>
      </c>
      <c r="B17" s="1">
        <v>20104260</v>
      </c>
      <c r="C17" s="1" t="s">
        <v>56</v>
      </c>
      <c r="D17" s="5">
        <f>Quiz!H42</f>
        <v>14.25</v>
      </c>
      <c r="E17" s="5">
        <f>Midterm!E42</f>
        <v>30.8</v>
      </c>
      <c r="F17" s="5">
        <f>Final!E42</f>
        <v>35.6</v>
      </c>
      <c r="G17" s="19">
        <f>SUM(D17:F17)</f>
        <v>80.650000000000006</v>
      </c>
      <c r="H17" s="16">
        <v>0.45000000000000284</v>
      </c>
      <c r="I17" s="1">
        <v>80.650000000000006</v>
      </c>
      <c r="J17" s="16">
        <v>0.45000000000000284</v>
      </c>
    </row>
    <row r="18" spans="1:10" x14ac:dyDescent="0.25">
      <c r="A18" s="1" t="s">
        <v>3</v>
      </c>
      <c r="B18" s="1">
        <v>20101836</v>
      </c>
      <c r="C18" s="1" t="s">
        <v>62</v>
      </c>
      <c r="D18" s="5">
        <f>Quiz!H18</f>
        <v>15</v>
      </c>
      <c r="E18" s="5">
        <f>Midterm!E18</f>
        <v>28</v>
      </c>
      <c r="F18" s="5">
        <f>Final!E18</f>
        <v>37.200000000000003</v>
      </c>
      <c r="G18" s="19">
        <f>SUM(D18:F18)</f>
        <v>80.2</v>
      </c>
      <c r="H18" s="16">
        <v>1.4210854715202004E-14</v>
      </c>
      <c r="I18" s="1">
        <v>80.2</v>
      </c>
      <c r="J18" s="16">
        <v>1.4210854715202004E-14</v>
      </c>
    </row>
    <row r="19" spans="1:10" x14ac:dyDescent="0.25">
      <c r="A19" s="1" t="s">
        <v>3</v>
      </c>
      <c r="B19" s="1">
        <v>20104058</v>
      </c>
      <c r="C19" s="15" t="s">
        <v>22</v>
      </c>
      <c r="D19" s="5">
        <f>Quiz!H40</f>
        <v>15</v>
      </c>
      <c r="E19" s="5">
        <f>Midterm!E40</f>
        <v>29.4</v>
      </c>
      <c r="F19" s="5">
        <f>Final!E40</f>
        <v>35.799999999999997</v>
      </c>
      <c r="G19" s="19">
        <f>SUM(D19:F19)</f>
        <v>80.199999999999989</v>
      </c>
      <c r="H19" s="16">
        <v>0.96249999999999147</v>
      </c>
      <c r="I19" s="1">
        <v>80.199999999999989</v>
      </c>
      <c r="J19" s="16">
        <v>0.96249999999999147</v>
      </c>
    </row>
    <row r="20" spans="1:10" x14ac:dyDescent="0.25">
      <c r="A20" s="1" t="s">
        <v>3</v>
      </c>
      <c r="B20" s="1">
        <v>20103250</v>
      </c>
      <c r="C20" s="1" t="s">
        <v>27</v>
      </c>
      <c r="D20" s="5">
        <f>Quiz!H32</f>
        <v>14.4375</v>
      </c>
      <c r="E20" s="5">
        <f>Midterm!E32</f>
        <v>30.8</v>
      </c>
      <c r="F20" s="5">
        <f>Final!E32</f>
        <v>34</v>
      </c>
      <c r="G20" s="19">
        <f>SUM(D20:F20)</f>
        <v>79.237499999999997</v>
      </c>
      <c r="H20" s="16">
        <v>0.5625</v>
      </c>
      <c r="I20" s="1">
        <v>79.237499999999997</v>
      </c>
      <c r="J20" s="16">
        <v>0.5625</v>
      </c>
    </row>
    <row r="21" spans="1:10" x14ac:dyDescent="0.25">
      <c r="A21" s="1" t="s">
        <v>3</v>
      </c>
      <c r="B21" s="1">
        <v>20100523</v>
      </c>
      <c r="C21" s="1" t="s">
        <v>65</v>
      </c>
      <c r="D21" s="5">
        <f>Quiz!H5</f>
        <v>13.275</v>
      </c>
      <c r="E21" s="5">
        <f>Midterm!E5</f>
        <v>29.4</v>
      </c>
      <c r="F21" s="5">
        <f>Final!E5</f>
        <v>36</v>
      </c>
      <c r="G21" s="19">
        <f>SUM(D21:F21)</f>
        <v>78.674999999999997</v>
      </c>
      <c r="H21" s="16">
        <v>0.29999999999999716</v>
      </c>
      <c r="I21" s="1">
        <v>78.674999999999997</v>
      </c>
      <c r="J21" s="16">
        <v>0.29999999999999716</v>
      </c>
    </row>
    <row r="22" spans="1:10" x14ac:dyDescent="0.25">
      <c r="A22" s="1" t="s">
        <v>3</v>
      </c>
      <c r="B22" s="1">
        <v>20105169</v>
      </c>
      <c r="C22" s="1" t="s">
        <v>40</v>
      </c>
      <c r="D22" s="5">
        <f>Quiz!H51</f>
        <v>12.375</v>
      </c>
      <c r="E22" s="5">
        <f>Midterm!E51</f>
        <v>29.4</v>
      </c>
      <c r="F22" s="5">
        <f>Final!E51</f>
        <v>36.6</v>
      </c>
      <c r="G22" s="19">
        <f>SUM(D22:F22)</f>
        <v>78.375</v>
      </c>
      <c r="H22" s="16">
        <v>9.9999999999994316E-2</v>
      </c>
      <c r="I22" s="1">
        <v>78.375</v>
      </c>
      <c r="J22" s="16">
        <v>9.9999999999994316E-2</v>
      </c>
    </row>
    <row r="23" spans="1:10" x14ac:dyDescent="0.25">
      <c r="A23" s="1" t="s">
        <v>3</v>
      </c>
      <c r="B23" s="1">
        <v>20102745</v>
      </c>
      <c r="C23" s="14" t="s">
        <v>15</v>
      </c>
      <c r="D23" s="5">
        <f>Quiz!H27</f>
        <v>10.875</v>
      </c>
      <c r="E23" s="5">
        <f>Midterm!E27</f>
        <v>35</v>
      </c>
      <c r="F23" s="5">
        <f>Final!E27</f>
        <v>32.400000000000006</v>
      </c>
      <c r="G23" s="19">
        <f>SUM(D23:F23)</f>
        <v>78.275000000000006</v>
      </c>
      <c r="H23" s="16">
        <v>5.0000000000011369E-2</v>
      </c>
      <c r="I23" s="1">
        <v>78.275000000000006</v>
      </c>
      <c r="J23" s="16">
        <v>5.0000000000011369E-2</v>
      </c>
    </row>
    <row r="24" spans="1:10" x14ac:dyDescent="0.25">
      <c r="A24" s="1" t="s">
        <v>3</v>
      </c>
      <c r="B24" s="1">
        <v>20100321</v>
      </c>
      <c r="C24" s="1" t="s">
        <v>55</v>
      </c>
      <c r="D24" s="5">
        <f>Quiz!H3</f>
        <v>14.625</v>
      </c>
      <c r="E24" s="5">
        <f>Midterm!E3</f>
        <v>29.4</v>
      </c>
      <c r="F24" s="5">
        <f>Final!E3</f>
        <v>34.200000000000003</v>
      </c>
      <c r="G24" s="19">
        <f>SUM(D24:F24)</f>
        <v>78.224999999999994</v>
      </c>
      <c r="H24" s="16">
        <v>0.125</v>
      </c>
      <c r="I24" s="1">
        <v>78.224999999999994</v>
      </c>
      <c r="J24" s="16">
        <v>0.125</v>
      </c>
    </row>
    <row r="25" spans="1:10" x14ac:dyDescent="0.25">
      <c r="A25" s="1" t="s">
        <v>3</v>
      </c>
      <c r="B25" s="1">
        <v>20104462</v>
      </c>
      <c r="C25" s="1" t="s">
        <v>45</v>
      </c>
      <c r="D25" s="5">
        <f>Quiz!H44</f>
        <v>13.5</v>
      </c>
      <c r="E25" s="5">
        <f>Midterm!E44</f>
        <v>29.4</v>
      </c>
      <c r="F25" s="5">
        <f>Final!E44</f>
        <v>35.200000000000003</v>
      </c>
      <c r="G25" s="19">
        <f>SUM(D25:F25)</f>
        <v>78.099999999999994</v>
      </c>
      <c r="H25" s="16">
        <v>0.25</v>
      </c>
      <c r="I25" s="1">
        <v>78.099999999999994</v>
      </c>
      <c r="J25" s="16">
        <v>0.25</v>
      </c>
    </row>
    <row r="26" spans="1:10" x14ac:dyDescent="0.25">
      <c r="A26" s="1" t="s">
        <v>3</v>
      </c>
      <c r="B26" s="1">
        <v>20105674</v>
      </c>
      <c r="C26" s="14" t="s">
        <v>14</v>
      </c>
      <c r="D26" s="5">
        <f>Quiz!H56</f>
        <v>11.25</v>
      </c>
      <c r="E26" s="5">
        <f>Midterm!E56</f>
        <v>30.8</v>
      </c>
      <c r="F26" s="5">
        <f>Final!E56</f>
        <v>35.799999999999997</v>
      </c>
      <c r="G26" s="19">
        <f>SUM(D26:F26)</f>
        <v>77.849999999999994</v>
      </c>
      <c r="H26" s="16">
        <v>0.41249999999999432</v>
      </c>
      <c r="I26" s="1">
        <v>77.849999999999994</v>
      </c>
      <c r="J26" s="16">
        <v>0.41249999999999432</v>
      </c>
    </row>
    <row r="27" spans="1:10" x14ac:dyDescent="0.25">
      <c r="A27" s="1" t="s">
        <v>3</v>
      </c>
      <c r="B27" s="1">
        <v>20101028</v>
      </c>
      <c r="C27" s="1" t="s">
        <v>48</v>
      </c>
      <c r="D27" s="5">
        <f>Quiz!H10</f>
        <v>14.4375</v>
      </c>
      <c r="E27" s="5">
        <f>Midterm!E10</f>
        <v>26.6</v>
      </c>
      <c r="F27" s="5">
        <f>Final!E10</f>
        <v>36.4</v>
      </c>
      <c r="G27" s="19">
        <f>SUM(D27:F27)</f>
        <v>77.4375</v>
      </c>
      <c r="H27" s="16">
        <v>0.17499999999999716</v>
      </c>
      <c r="I27" s="1">
        <v>77.4375</v>
      </c>
      <c r="J27" s="16">
        <v>0.17499999999999716</v>
      </c>
    </row>
    <row r="28" spans="1:10" x14ac:dyDescent="0.25">
      <c r="A28" s="1" t="s">
        <v>3</v>
      </c>
      <c r="B28" s="1">
        <v>20101331</v>
      </c>
      <c r="C28" s="1" t="s">
        <v>46</v>
      </c>
      <c r="D28" s="5">
        <f>Quiz!H13</f>
        <v>14.0625</v>
      </c>
      <c r="E28" s="5">
        <f>Midterm!E13</f>
        <v>28</v>
      </c>
      <c r="F28" s="5">
        <f>Final!E13</f>
        <v>35.200000000000003</v>
      </c>
      <c r="G28" s="19">
        <f>SUM(D28:F28)</f>
        <v>77.262500000000003</v>
      </c>
      <c r="H28" s="16">
        <v>4.9999999999997158E-2</v>
      </c>
      <c r="I28" s="1">
        <v>77.262500000000003</v>
      </c>
      <c r="J28" s="16">
        <v>4.9999999999997158E-2</v>
      </c>
    </row>
    <row r="29" spans="1:10" x14ac:dyDescent="0.25">
      <c r="A29" s="1" t="s">
        <v>3</v>
      </c>
      <c r="B29" s="1">
        <v>20106482</v>
      </c>
      <c r="C29" s="1" t="s">
        <v>54</v>
      </c>
      <c r="D29" s="5">
        <f>Quiz!H64</f>
        <v>14.2125</v>
      </c>
      <c r="E29" s="5">
        <f>Midterm!E64</f>
        <v>29.4</v>
      </c>
      <c r="F29" s="5">
        <f>Final!E64</f>
        <v>33.6</v>
      </c>
      <c r="G29" s="19">
        <f>SUM(D29:F29)</f>
        <v>77.212500000000006</v>
      </c>
      <c r="H29" s="16">
        <v>1.2500000000002842E-2</v>
      </c>
      <c r="I29" s="1">
        <v>77.212500000000006</v>
      </c>
      <c r="J29" s="16">
        <v>1.2500000000002842E-2</v>
      </c>
    </row>
    <row r="30" spans="1:10" x14ac:dyDescent="0.25">
      <c r="A30" s="1" t="s">
        <v>3</v>
      </c>
      <c r="B30" s="1">
        <v>20104563</v>
      </c>
      <c r="C30" s="14" t="s">
        <v>10</v>
      </c>
      <c r="D30" s="5">
        <f>Quiz!H45</f>
        <v>15</v>
      </c>
      <c r="E30" s="5">
        <f>Midterm!E45</f>
        <v>26.6</v>
      </c>
      <c r="F30" s="5">
        <f>Final!E45</f>
        <v>35.6</v>
      </c>
      <c r="G30" s="19">
        <f>SUM(D30:F30)</f>
        <v>77.2</v>
      </c>
      <c r="H30" s="16">
        <v>0.82500000000000284</v>
      </c>
      <c r="I30" s="1">
        <v>77.2</v>
      </c>
      <c r="J30" s="16">
        <v>0.82500000000000284</v>
      </c>
    </row>
    <row r="31" spans="1:10" x14ac:dyDescent="0.25">
      <c r="A31" s="1" t="s">
        <v>3</v>
      </c>
      <c r="B31" s="1">
        <v>20102543</v>
      </c>
      <c r="C31" s="1" t="s">
        <v>51</v>
      </c>
      <c r="D31" s="5">
        <f>Quiz!H25</f>
        <v>12.375</v>
      </c>
      <c r="E31" s="5">
        <f>Midterm!E25</f>
        <v>30.8</v>
      </c>
      <c r="F31" s="5">
        <f>Final!E25</f>
        <v>33.199999999999996</v>
      </c>
      <c r="G31" s="19">
        <f>SUM(D31:F31)</f>
        <v>76.375</v>
      </c>
      <c r="H31" s="16">
        <v>9.9999999999994316E-2</v>
      </c>
      <c r="I31" s="1">
        <v>76.375</v>
      </c>
      <c r="J31" s="16">
        <v>9.9999999999994316E-2</v>
      </c>
    </row>
    <row r="32" spans="1:10" x14ac:dyDescent="0.25">
      <c r="A32" s="1" t="s">
        <v>3</v>
      </c>
      <c r="B32" s="1">
        <v>20104866</v>
      </c>
      <c r="C32" s="1" t="s">
        <v>23</v>
      </c>
      <c r="D32" s="5">
        <f>Quiz!H48</f>
        <v>13.875</v>
      </c>
      <c r="E32" s="5">
        <f>Midterm!E48</f>
        <v>26.6</v>
      </c>
      <c r="F32" s="5">
        <f>Final!E48</f>
        <v>35.799999999999997</v>
      </c>
      <c r="G32" s="19">
        <f>SUM(D32:F32)</f>
        <v>76.275000000000006</v>
      </c>
      <c r="H32" s="16">
        <v>2.5000000000005684E-2</v>
      </c>
      <c r="I32" s="1">
        <v>76.275000000000006</v>
      </c>
      <c r="J32" s="16">
        <v>2.5000000000005684E-2</v>
      </c>
    </row>
    <row r="33" spans="1:10" x14ac:dyDescent="0.25">
      <c r="A33" s="1" t="s">
        <v>3</v>
      </c>
      <c r="B33" s="1">
        <v>20100119</v>
      </c>
      <c r="C33" s="1" t="s">
        <v>50</v>
      </c>
      <c r="D33" s="5">
        <f>Quiz!H67</f>
        <v>14.25</v>
      </c>
      <c r="E33" s="5">
        <f>Midterm!E67</f>
        <v>26.6</v>
      </c>
      <c r="F33" s="5">
        <f>Final!E67</f>
        <v>35.4</v>
      </c>
      <c r="G33" s="19">
        <f>SUM(D33:F33)</f>
        <v>76.25</v>
      </c>
      <c r="H33" s="16">
        <v>0.1875</v>
      </c>
      <c r="I33" s="1">
        <v>76.25</v>
      </c>
      <c r="J33" s="16">
        <v>0.1875</v>
      </c>
    </row>
    <row r="34" spans="1:10" x14ac:dyDescent="0.25">
      <c r="A34" s="1" t="s">
        <v>3</v>
      </c>
      <c r="B34" s="1">
        <v>20101230</v>
      </c>
      <c r="C34" s="1" t="s">
        <v>58</v>
      </c>
      <c r="D34" s="5">
        <f>Quiz!H12</f>
        <v>14.0625</v>
      </c>
      <c r="E34" s="5">
        <f>Midterm!E12</f>
        <v>29.4</v>
      </c>
      <c r="F34" s="5">
        <f>Final!E12</f>
        <v>32.599999999999994</v>
      </c>
      <c r="G34" s="19">
        <f>SUM(D34:F34)</f>
        <v>76.0625</v>
      </c>
      <c r="H34" s="16">
        <v>0.21250000000000568</v>
      </c>
      <c r="I34" s="1">
        <v>76.0625</v>
      </c>
      <c r="J34" s="16">
        <v>0.21250000000000568</v>
      </c>
    </row>
    <row r="35" spans="1:10" x14ac:dyDescent="0.25">
      <c r="A35" s="1" t="s">
        <v>3</v>
      </c>
      <c r="B35" s="1">
        <v>20105775</v>
      </c>
      <c r="C35" s="1" t="s">
        <v>41</v>
      </c>
      <c r="D35" s="5">
        <f>Quiz!H57</f>
        <v>11.25</v>
      </c>
      <c r="E35" s="5">
        <f>Midterm!E57</f>
        <v>30.8</v>
      </c>
      <c r="F35" s="5">
        <f>Final!E57</f>
        <v>33.799999999999997</v>
      </c>
      <c r="G35" s="19">
        <f>SUM(D35:F35)</f>
        <v>75.849999999999994</v>
      </c>
      <c r="H35" s="16">
        <v>1.2499999999988631E-2</v>
      </c>
      <c r="I35" s="1">
        <v>75.849999999999994</v>
      </c>
      <c r="J35" s="16">
        <v>1.2499999999988631E-2</v>
      </c>
    </row>
    <row r="36" spans="1:10" x14ac:dyDescent="0.25">
      <c r="A36" s="1" t="s">
        <v>3</v>
      </c>
      <c r="B36" s="1">
        <v>20105270</v>
      </c>
      <c r="C36" s="1" t="s">
        <v>52</v>
      </c>
      <c r="D36" s="5">
        <f>Quiz!H52</f>
        <v>12.0375</v>
      </c>
      <c r="E36" s="5">
        <f>Midterm!E52</f>
        <v>28</v>
      </c>
      <c r="F36" s="5">
        <f>Final!E52</f>
        <v>35.799999999999997</v>
      </c>
      <c r="G36" s="19">
        <f>SUM(D36:F36)</f>
        <v>75.837500000000006</v>
      </c>
      <c r="H36" s="16">
        <v>3.7499999999994316E-2</v>
      </c>
      <c r="I36" s="1">
        <v>75.837500000000006</v>
      </c>
      <c r="J36" s="16">
        <v>3.7499999999994316E-2</v>
      </c>
    </row>
    <row r="37" spans="1:10" x14ac:dyDescent="0.25">
      <c r="A37" s="1" t="s">
        <v>3</v>
      </c>
      <c r="B37" s="1">
        <v>20101937</v>
      </c>
      <c r="C37" s="1" t="s">
        <v>24</v>
      </c>
      <c r="D37" s="5">
        <f>Quiz!H19</f>
        <v>15</v>
      </c>
      <c r="E37" s="5">
        <f>Midterm!E19</f>
        <v>25.2</v>
      </c>
      <c r="F37" s="5">
        <f>Final!E19</f>
        <v>35.6</v>
      </c>
      <c r="G37" s="19">
        <f>SUM(D37:F37)</f>
        <v>75.800000000000011</v>
      </c>
      <c r="H37" s="16">
        <v>0</v>
      </c>
      <c r="I37" s="1">
        <v>75.800000000000011</v>
      </c>
      <c r="J37" s="16">
        <v>0</v>
      </c>
    </row>
    <row r="38" spans="1:10" x14ac:dyDescent="0.25">
      <c r="A38" s="1" t="s">
        <v>3</v>
      </c>
      <c r="B38" s="1">
        <v>20103654</v>
      </c>
      <c r="C38" s="1" t="s">
        <v>53</v>
      </c>
      <c r="D38" s="5">
        <f>Quiz!H36</f>
        <v>15</v>
      </c>
      <c r="E38" s="5">
        <f>Midterm!E36</f>
        <v>25.2</v>
      </c>
      <c r="F38" s="5">
        <f>Final!E36</f>
        <v>35.6</v>
      </c>
      <c r="G38" s="19">
        <f>SUM(D38:F38)</f>
        <v>75.800000000000011</v>
      </c>
      <c r="H38" s="16">
        <v>0.26250000000001705</v>
      </c>
      <c r="I38" s="1">
        <v>75.800000000000011</v>
      </c>
      <c r="J38" s="16">
        <v>0.26250000000001705</v>
      </c>
    </row>
    <row r="39" spans="1:10" x14ac:dyDescent="0.25">
      <c r="A39" s="1" t="s">
        <v>3</v>
      </c>
      <c r="B39" s="1">
        <v>20102442</v>
      </c>
      <c r="C39" s="1" t="s">
        <v>44</v>
      </c>
      <c r="D39" s="5">
        <f>Quiz!H24</f>
        <v>12.9375</v>
      </c>
      <c r="E39" s="5">
        <f>Midterm!E24</f>
        <v>29.4</v>
      </c>
      <c r="F39" s="5">
        <f>Final!E24</f>
        <v>33.199999999999996</v>
      </c>
      <c r="G39" s="19">
        <f>SUM(D39:F39)</f>
        <v>75.537499999999994</v>
      </c>
      <c r="H39" s="16">
        <v>0.52499999999999147</v>
      </c>
      <c r="I39" s="1">
        <v>75.537499999999994</v>
      </c>
      <c r="J39" s="16">
        <v>0.52499999999999147</v>
      </c>
    </row>
    <row r="40" spans="1:10" x14ac:dyDescent="0.25">
      <c r="A40" s="1" t="s">
        <v>3</v>
      </c>
      <c r="B40" s="1">
        <v>20102038</v>
      </c>
      <c r="C40" s="1" t="s">
        <v>63</v>
      </c>
      <c r="D40" s="5">
        <f>Quiz!H20</f>
        <v>14.8125</v>
      </c>
      <c r="E40" s="5">
        <f>Midterm!E20</f>
        <v>25.2</v>
      </c>
      <c r="F40" s="5">
        <f>Final!E20</f>
        <v>35</v>
      </c>
      <c r="G40" s="19">
        <f>SUM(D40:F40)</f>
        <v>75.012500000000003</v>
      </c>
      <c r="H40" s="16">
        <v>0.91250000000000853</v>
      </c>
      <c r="I40" s="1">
        <v>75.012500000000003</v>
      </c>
      <c r="J40" s="16">
        <v>0.91250000000000853</v>
      </c>
    </row>
    <row r="41" spans="1:10" x14ac:dyDescent="0.25">
      <c r="A41" s="1" t="s">
        <v>3</v>
      </c>
      <c r="B41" s="1">
        <v>20103452</v>
      </c>
      <c r="C41" s="14" t="s">
        <v>6</v>
      </c>
      <c r="D41" s="5">
        <f>Quiz!H34</f>
        <v>10.5</v>
      </c>
      <c r="E41" s="5">
        <f>Midterm!E34</f>
        <v>30.8</v>
      </c>
      <c r="F41" s="5">
        <f>Final!E34</f>
        <v>32.799999999999997</v>
      </c>
      <c r="G41" s="19">
        <f>SUM(D41:F41)</f>
        <v>74.099999999999994</v>
      </c>
      <c r="H41" s="16">
        <v>0.67499999999999716</v>
      </c>
      <c r="I41" s="1">
        <v>74.099999999999994</v>
      </c>
      <c r="J41" s="16">
        <v>0.67499999999999716</v>
      </c>
    </row>
    <row r="42" spans="1:10" x14ac:dyDescent="0.25">
      <c r="A42" s="1" t="s">
        <v>3</v>
      </c>
      <c r="B42" s="1">
        <v>20104765</v>
      </c>
      <c r="C42" s="14" t="s">
        <v>19</v>
      </c>
      <c r="D42" s="5">
        <f>Quiz!H47</f>
        <v>14.625</v>
      </c>
      <c r="E42" s="5">
        <f>Midterm!E47</f>
        <v>29.4</v>
      </c>
      <c r="F42" s="5">
        <f>Final!E47</f>
        <v>29.4</v>
      </c>
      <c r="G42" s="19">
        <f>SUM(D42:F42)</f>
        <v>73.424999999999997</v>
      </c>
      <c r="H42" s="16">
        <v>1.2500000000002842E-2</v>
      </c>
      <c r="I42" s="1">
        <v>73.424999999999997</v>
      </c>
      <c r="J42" s="16">
        <v>1.2500000000002842E-2</v>
      </c>
    </row>
    <row r="43" spans="1:10" x14ac:dyDescent="0.25">
      <c r="A43" s="1" t="s">
        <v>3</v>
      </c>
      <c r="B43" s="1">
        <v>20102139</v>
      </c>
      <c r="C43" s="15" t="s">
        <v>4</v>
      </c>
      <c r="D43" s="5">
        <f>Quiz!H21</f>
        <v>14.2125</v>
      </c>
      <c r="E43" s="5">
        <f>Midterm!E21</f>
        <v>25.2</v>
      </c>
      <c r="F43" s="5">
        <f>Final!E21</f>
        <v>34</v>
      </c>
      <c r="G43" s="19">
        <f>SUM(D43:F43)</f>
        <v>73.412499999999994</v>
      </c>
      <c r="H43" s="16">
        <v>0.41249999999999432</v>
      </c>
      <c r="I43" s="1">
        <v>73.412499999999994</v>
      </c>
      <c r="J43" s="16">
        <v>0.41249999999999432</v>
      </c>
    </row>
    <row r="44" spans="1:10" x14ac:dyDescent="0.25">
      <c r="A44" s="1" t="s">
        <v>3</v>
      </c>
      <c r="B44" s="1">
        <v>20100220</v>
      </c>
      <c r="C44" s="15" t="s">
        <v>21</v>
      </c>
      <c r="D44" s="5">
        <f>Quiz!H2</f>
        <v>13.200000000000001</v>
      </c>
      <c r="E44" s="5">
        <f>Midterm!E2</f>
        <v>26.6</v>
      </c>
      <c r="F44" s="5">
        <f>Final!E2</f>
        <v>33.199999999999996</v>
      </c>
      <c r="G44" s="19">
        <f>SUM(D44:F44)</f>
        <v>73</v>
      </c>
      <c r="H44" s="16">
        <v>0.27500000000000568</v>
      </c>
      <c r="I44" s="1">
        <v>73</v>
      </c>
      <c r="J44" s="16">
        <v>0.27500000000000568</v>
      </c>
    </row>
    <row r="45" spans="1:10" x14ac:dyDescent="0.25">
      <c r="A45" s="1" t="s">
        <v>3</v>
      </c>
      <c r="B45" s="1">
        <v>20102240</v>
      </c>
      <c r="C45" s="14" t="s">
        <v>11</v>
      </c>
      <c r="D45" s="5">
        <f>Quiz!H22</f>
        <v>12.524999999999999</v>
      </c>
      <c r="E45" s="5">
        <f>Midterm!E22</f>
        <v>23.8</v>
      </c>
      <c r="F45" s="5">
        <f>Final!E22</f>
        <v>36.4</v>
      </c>
      <c r="G45" s="19">
        <f>SUM(D45:F45)</f>
        <v>72.724999999999994</v>
      </c>
      <c r="H45" s="16">
        <v>0.125</v>
      </c>
      <c r="I45" s="1">
        <v>72.724999999999994</v>
      </c>
      <c r="J45" s="16">
        <v>0.125</v>
      </c>
    </row>
    <row r="46" spans="1:10" x14ac:dyDescent="0.25">
      <c r="A46" s="1" t="s">
        <v>3</v>
      </c>
      <c r="B46" s="1">
        <v>20105068</v>
      </c>
      <c r="C46" s="1" t="s">
        <v>32</v>
      </c>
      <c r="D46" s="5">
        <f>Quiz!H50</f>
        <v>9</v>
      </c>
      <c r="E46" s="5">
        <f>Midterm!E50</f>
        <v>30.8</v>
      </c>
      <c r="F46" s="5">
        <f>Final!E50</f>
        <v>32.799999999999997</v>
      </c>
      <c r="G46" s="19">
        <f>SUM(D46:F46)</f>
        <v>72.599999999999994</v>
      </c>
      <c r="H46" s="16">
        <v>0.36249999999998295</v>
      </c>
      <c r="I46" s="1">
        <v>72.599999999999994</v>
      </c>
      <c r="J46" s="16">
        <v>0.36249999999998295</v>
      </c>
    </row>
    <row r="47" spans="1:10" x14ac:dyDescent="0.25">
      <c r="A47" s="1" t="s">
        <v>3</v>
      </c>
      <c r="B47" s="1">
        <v>20101432</v>
      </c>
      <c r="C47" s="14" t="s">
        <v>13</v>
      </c>
      <c r="D47" s="5">
        <f>Quiz!H14</f>
        <v>14.4375</v>
      </c>
      <c r="E47" s="5">
        <f>Midterm!E14</f>
        <v>26.6</v>
      </c>
      <c r="F47" s="5">
        <f>Final!E14</f>
        <v>31.200000000000003</v>
      </c>
      <c r="G47" s="19">
        <f>SUM(D47:F47)</f>
        <v>72.237500000000011</v>
      </c>
      <c r="H47" s="16">
        <v>0.43750000000001421</v>
      </c>
      <c r="I47" s="1">
        <v>72.237500000000011</v>
      </c>
      <c r="J47" s="16">
        <v>0.43750000000001421</v>
      </c>
    </row>
    <row r="48" spans="1:10" x14ac:dyDescent="0.25">
      <c r="A48" s="1" t="s">
        <v>3</v>
      </c>
      <c r="B48" s="1">
        <v>20104967</v>
      </c>
      <c r="C48" s="14" t="s">
        <v>20</v>
      </c>
      <c r="D48" s="5">
        <f>Quiz!H49</f>
        <v>12.600000000000001</v>
      </c>
      <c r="E48" s="5">
        <f>Midterm!E49</f>
        <v>26.6</v>
      </c>
      <c r="F48" s="5">
        <f>Final!E49</f>
        <v>32.599999999999994</v>
      </c>
      <c r="G48" s="19">
        <f>SUM(D48:F48)</f>
        <v>71.8</v>
      </c>
      <c r="H48" s="16">
        <v>0.70000000000000284</v>
      </c>
      <c r="I48" s="1">
        <v>71.8</v>
      </c>
      <c r="J48" s="16">
        <v>0.70000000000000284</v>
      </c>
    </row>
    <row r="49" spans="1:10" x14ac:dyDescent="0.25">
      <c r="A49" s="1" t="s">
        <v>3</v>
      </c>
      <c r="B49" s="1">
        <v>20103856</v>
      </c>
      <c r="C49" s="1" t="s">
        <v>59</v>
      </c>
      <c r="D49" s="5">
        <f>Quiz!H38</f>
        <v>12.9</v>
      </c>
      <c r="E49" s="5">
        <f>Midterm!E38</f>
        <v>28</v>
      </c>
      <c r="F49" s="5">
        <f>Final!E38</f>
        <v>30.2</v>
      </c>
      <c r="G49" s="19">
        <f>SUM(D49:F49)</f>
        <v>71.099999999999994</v>
      </c>
      <c r="H49" s="16">
        <v>0.59999999999999432</v>
      </c>
      <c r="I49" s="1">
        <v>71.099999999999994</v>
      </c>
      <c r="J49" s="16">
        <v>0.59999999999999432</v>
      </c>
    </row>
    <row r="50" spans="1:10" x14ac:dyDescent="0.25">
      <c r="A50" s="1" t="s">
        <v>3</v>
      </c>
      <c r="B50" s="1">
        <v>20105371</v>
      </c>
      <c r="C50" s="1" t="s">
        <v>61</v>
      </c>
      <c r="D50" s="5">
        <f>Quiz!H53</f>
        <v>11.1</v>
      </c>
      <c r="E50" s="5">
        <f>Midterm!E53</f>
        <v>26.6</v>
      </c>
      <c r="F50" s="5">
        <f>Final!E53</f>
        <v>32.799999999999997</v>
      </c>
      <c r="G50" s="19">
        <f>SUM(D50:F50)</f>
        <v>70.5</v>
      </c>
      <c r="H50" s="16">
        <v>0.32499999999998863</v>
      </c>
      <c r="I50" s="1">
        <v>70.5</v>
      </c>
      <c r="J50" s="16">
        <v>0.32499999999998863</v>
      </c>
    </row>
    <row r="51" spans="1:10" x14ac:dyDescent="0.25">
      <c r="A51" s="1" t="s">
        <v>3</v>
      </c>
      <c r="B51" s="1">
        <v>20100927</v>
      </c>
      <c r="C51" s="1" t="s">
        <v>64</v>
      </c>
      <c r="D51" s="5">
        <f>Quiz!H9</f>
        <v>12.375</v>
      </c>
      <c r="E51" s="5">
        <f>Midterm!E9</f>
        <v>26.6</v>
      </c>
      <c r="F51" s="5">
        <f>Final!E9</f>
        <v>31.200000000000003</v>
      </c>
      <c r="G51" s="19">
        <f>SUM(D51:F51)</f>
        <v>70.175000000000011</v>
      </c>
      <c r="H51" s="16">
        <v>0.72500000000002274</v>
      </c>
      <c r="I51" s="1">
        <v>70.175000000000011</v>
      </c>
      <c r="J51" s="16">
        <v>0.72500000000002274</v>
      </c>
    </row>
    <row r="52" spans="1:10" x14ac:dyDescent="0.25">
      <c r="A52" s="1" t="s">
        <v>3</v>
      </c>
      <c r="B52" s="1">
        <v>20102846</v>
      </c>
      <c r="C52" s="1" t="s">
        <v>33</v>
      </c>
      <c r="D52" s="5">
        <f>Quiz!H28</f>
        <v>9.4499999999999993</v>
      </c>
      <c r="E52" s="5">
        <f>Midterm!E28</f>
        <v>29.4</v>
      </c>
      <c r="F52" s="5">
        <f>Final!E28</f>
        <v>30.6</v>
      </c>
      <c r="G52" s="19">
        <f>SUM(D52:F52)</f>
        <v>69.449999999999989</v>
      </c>
      <c r="H52" s="16">
        <v>0.12499999999998579</v>
      </c>
      <c r="I52" s="1">
        <v>69.449999999999989</v>
      </c>
      <c r="J52" s="16">
        <v>0.12499999999998579</v>
      </c>
    </row>
    <row r="53" spans="1:10" x14ac:dyDescent="0.25">
      <c r="A53" s="1" t="s">
        <v>3</v>
      </c>
      <c r="B53" s="1">
        <v>20101735</v>
      </c>
      <c r="C53" s="1" t="s">
        <v>67</v>
      </c>
      <c r="D53" s="5">
        <f>Quiz!H17</f>
        <v>13.125</v>
      </c>
      <c r="E53" s="5">
        <f>Midterm!E17</f>
        <v>22.400000000000002</v>
      </c>
      <c r="F53" s="5">
        <f>Final!E17</f>
        <v>33.799999999999997</v>
      </c>
      <c r="G53" s="19">
        <f>SUM(D53:F53)</f>
        <v>69.325000000000003</v>
      </c>
      <c r="H53" s="16">
        <v>0.26250000000000284</v>
      </c>
      <c r="I53" s="1">
        <v>69.325000000000003</v>
      </c>
      <c r="J53" s="16">
        <v>0.26250000000000284</v>
      </c>
    </row>
    <row r="54" spans="1:10" x14ac:dyDescent="0.25">
      <c r="A54" s="1" t="s">
        <v>3</v>
      </c>
      <c r="B54" s="1">
        <v>20101129</v>
      </c>
      <c r="C54" s="1" t="s">
        <v>60</v>
      </c>
      <c r="D54" s="5">
        <f>Quiz!H11</f>
        <v>8.0625</v>
      </c>
      <c r="E54" s="5">
        <f>Midterm!E11</f>
        <v>29.4</v>
      </c>
      <c r="F54" s="5">
        <f>Final!E11</f>
        <v>31.6</v>
      </c>
      <c r="G54" s="19">
        <f>SUM(D54:F54)</f>
        <v>69.0625</v>
      </c>
      <c r="H54" s="16">
        <v>9.9999999999994316E-2</v>
      </c>
      <c r="I54" s="1">
        <v>69.0625</v>
      </c>
      <c r="J54" s="16">
        <v>9.9999999999994316E-2</v>
      </c>
    </row>
    <row r="55" spans="1:10" x14ac:dyDescent="0.25">
      <c r="A55" s="1" t="s">
        <v>3</v>
      </c>
      <c r="B55" s="1">
        <v>20102341</v>
      </c>
      <c r="C55" s="14" t="s">
        <v>17</v>
      </c>
      <c r="D55" s="5">
        <f>Quiz!H23</f>
        <v>10.762500000000001</v>
      </c>
      <c r="E55" s="5">
        <f>Midterm!E23</f>
        <v>26.6</v>
      </c>
      <c r="F55" s="5">
        <f>Final!E23</f>
        <v>31.6</v>
      </c>
      <c r="G55" s="19">
        <f>SUM(D55:F55)</f>
        <v>68.962500000000006</v>
      </c>
      <c r="H55" s="16">
        <v>1.4750000000000085</v>
      </c>
      <c r="I55" s="1">
        <v>68.962500000000006</v>
      </c>
      <c r="J55" s="16">
        <v>1.4750000000000085</v>
      </c>
    </row>
    <row r="56" spans="1:10" x14ac:dyDescent="0.25">
      <c r="A56" s="1" t="s">
        <v>3</v>
      </c>
      <c r="B56" s="1">
        <v>20103957</v>
      </c>
      <c r="C56" s="1" t="s">
        <v>35</v>
      </c>
      <c r="D56" s="5">
        <f>Quiz!H39</f>
        <v>13.6875</v>
      </c>
      <c r="E56" s="5">
        <f>Midterm!E39</f>
        <v>21</v>
      </c>
      <c r="F56" s="5">
        <f>Final!E39</f>
        <v>32.799999999999997</v>
      </c>
      <c r="G56" s="19">
        <f>SUM(D56:F56)</f>
        <v>67.487499999999997</v>
      </c>
      <c r="H56" s="16">
        <v>0.91250000000000853</v>
      </c>
      <c r="I56" s="1">
        <v>67.487499999999997</v>
      </c>
      <c r="J56" s="16">
        <v>0.91250000000000853</v>
      </c>
    </row>
    <row r="57" spans="1:10" x14ac:dyDescent="0.25">
      <c r="A57" s="1" t="s">
        <v>3</v>
      </c>
      <c r="B57" s="1">
        <v>20105573</v>
      </c>
      <c r="C57" s="1" t="s">
        <v>68</v>
      </c>
      <c r="D57" s="5">
        <f>Quiz!H55</f>
        <v>9.375</v>
      </c>
      <c r="E57" s="5">
        <f>Midterm!E55</f>
        <v>23.8</v>
      </c>
      <c r="F57" s="5">
        <f>Final!E55</f>
        <v>33.4</v>
      </c>
      <c r="G57" s="19">
        <f>SUM(D57:F57)</f>
        <v>66.574999999999989</v>
      </c>
      <c r="H57" s="16">
        <v>9.9999999999994316E-2</v>
      </c>
      <c r="I57" s="1">
        <v>66.574999999999989</v>
      </c>
      <c r="J57" s="16">
        <v>9.9999999999994316E-2</v>
      </c>
    </row>
    <row r="58" spans="1:10" x14ac:dyDescent="0.25">
      <c r="A58" s="1" t="s">
        <v>3</v>
      </c>
      <c r="B58" s="1">
        <v>20106179</v>
      </c>
      <c r="C58" s="1" t="s">
        <v>36</v>
      </c>
      <c r="D58" s="5">
        <f>Quiz!H61</f>
        <v>13.275</v>
      </c>
      <c r="E58" s="5">
        <f>Midterm!E61</f>
        <v>21</v>
      </c>
      <c r="F58" s="5">
        <f>Final!E61</f>
        <v>32.200000000000003</v>
      </c>
      <c r="G58" s="19">
        <f>SUM(D58:F58)</f>
        <v>66.474999999999994</v>
      </c>
      <c r="H58" s="16">
        <v>0.79999999999999716</v>
      </c>
      <c r="I58" s="1">
        <v>66.474999999999994</v>
      </c>
      <c r="J58" s="16">
        <v>0.79999999999999716</v>
      </c>
    </row>
    <row r="59" spans="1:10" x14ac:dyDescent="0.25">
      <c r="A59" s="1" t="s">
        <v>3</v>
      </c>
      <c r="B59" s="1">
        <v>20100422</v>
      </c>
      <c r="C59" s="1" t="s">
        <v>31</v>
      </c>
      <c r="D59" s="5">
        <f>Quiz!H4</f>
        <v>10.875</v>
      </c>
      <c r="E59" s="5">
        <f>Midterm!E4</f>
        <v>28</v>
      </c>
      <c r="F59" s="5">
        <f>Final!E4</f>
        <v>26.8</v>
      </c>
      <c r="G59" s="19">
        <f>SUM(D59:F59)</f>
        <v>65.674999999999997</v>
      </c>
      <c r="H59" s="16">
        <v>6.25E-2</v>
      </c>
      <c r="I59" s="1">
        <v>65.674999999999997</v>
      </c>
      <c r="J59" s="16">
        <v>6.25E-2</v>
      </c>
    </row>
    <row r="60" spans="1:10" x14ac:dyDescent="0.25">
      <c r="A60" s="1" t="s">
        <v>3</v>
      </c>
      <c r="B60" s="1">
        <v>20103149</v>
      </c>
      <c r="C60" s="1" t="s">
        <v>37</v>
      </c>
      <c r="D60" s="5">
        <f>Quiz!H31</f>
        <v>8.8125</v>
      </c>
      <c r="E60" s="5">
        <f>Midterm!E31</f>
        <v>28</v>
      </c>
      <c r="F60" s="5">
        <f>Final!E31</f>
        <v>28.799999999999997</v>
      </c>
      <c r="G60" s="19">
        <f>SUM(D60:F60)</f>
        <v>65.612499999999997</v>
      </c>
      <c r="H60" s="16">
        <v>0.81249999999998579</v>
      </c>
      <c r="I60" s="1">
        <v>65.612499999999997</v>
      </c>
      <c r="J60" s="16">
        <v>0.81249999999998579</v>
      </c>
    </row>
    <row r="61" spans="1:10" x14ac:dyDescent="0.25">
      <c r="A61" s="1" t="s">
        <v>3</v>
      </c>
      <c r="B61" s="1">
        <v>20106078</v>
      </c>
      <c r="C61" s="1" t="s">
        <v>39</v>
      </c>
      <c r="D61" s="5">
        <f>Quiz!H60</f>
        <v>12.600000000000001</v>
      </c>
      <c r="E61" s="5">
        <f>Midterm!E60</f>
        <v>21</v>
      </c>
      <c r="F61" s="5">
        <f>Final!E60</f>
        <v>31.200000000000003</v>
      </c>
      <c r="G61" s="19">
        <f>SUM(D61:F61)</f>
        <v>64.800000000000011</v>
      </c>
      <c r="H61" s="16">
        <v>0.15000000000000568</v>
      </c>
      <c r="I61" s="1">
        <v>64.800000000000011</v>
      </c>
      <c r="J61" s="16">
        <v>0.15000000000000568</v>
      </c>
    </row>
    <row r="62" spans="1:10" x14ac:dyDescent="0.25">
      <c r="A62" s="1" t="s">
        <v>3</v>
      </c>
      <c r="B62" s="1">
        <v>20104664</v>
      </c>
      <c r="C62" s="1" t="s">
        <v>34</v>
      </c>
      <c r="D62" s="5">
        <f>Quiz!H46</f>
        <v>11.25</v>
      </c>
      <c r="E62" s="5">
        <f>Midterm!E46</f>
        <v>21</v>
      </c>
      <c r="F62" s="5">
        <f>Final!E46</f>
        <v>32.400000000000006</v>
      </c>
      <c r="G62" s="19">
        <f>SUM(D62:F62)</f>
        <v>64.650000000000006</v>
      </c>
      <c r="H62" s="16">
        <v>1.7500000000000071</v>
      </c>
      <c r="I62" s="1">
        <v>64.650000000000006</v>
      </c>
      <c r="J62" s="16">
        <v>1.7500000000000071</v>
      </c>
    </row>
    <row r="63" spans="1:10" x14ac:dyDescent="0.25">
      <c r="A63" s="1" t="s">
        <v>3</v>
      </c>
      <c r="B63" s="1">
        <v>20103755</v>
      </c>
      <c r="C63" s="1" t="s">
        <v>38</v>
      </c>
      <c r="D63" s="5">
        <f>Quiz!H37</f>
        <v>12.9</v>
      </c>
      <c r="E63" s="5">
        <f>Midterm!E37</f>
        <v>21</v>
      </c>
      <c r="F63" s="5">
        <f>Final!E37</f>
        <v>29</v>
      </c>
      <c r="G63" s="19">
        <f>SUM(D63:F63)</f>
        <v>62.9</v>
      </c>
      <c r="H63" s="16">
        <v>8.7499999999998579E-2</v>
      </c>
      <c r="I63" s="1">
        <v>62.9</v>
      </c>
      <c r="J63" s="16">
        <v>8.7499999999998579E-2</v>
      </c>
    </row>
    <row r="64" spans="1:10" x14ac:dyDescent="0.25">
      <c r="A64" s="1" t="s">
        <v>3</v>
      </c>
      <c r="B64" s="1">
        <v>20101634</v>
      </c>
      <c r="C64" s="1" t="s">
        <v>25</v>
      </c>
      <c r="D64" s="5">
        <f>Quiz!H16</f>
        <v>14.8125</v>
      </c>
      <c r="E64" s="5">
        <f>Midterm!E16</f>
        <v>16.8</v>
      </c>
      <c r="F64" s="5">
        <f>Final!E16</f>
        <v>31.200000000000003</v>
      </c>
      <c r="G64" s="19">
        <f>SUM(D64:F64)</f>
        <v>62.8125</v>
      </c>
      <c r="H64" s="16">
        <v>0.125</v>
      </c>
      <c r="I64" s="1">
        <v>62.8125</v>
      </c>
      <c r="J64" s="16">
        <v>0.125</v>
      </c>
    </row>
    <row r="65" spans="1:10" x14ac:dyDescent="0.25">
      <c r="A65" s="1" t="s">
        <v>3</v>
      </c>
      <c r="B65" s="1">
        <v>20105472</v>
      </c>
      <c r="C65" s="14" t="s">
        <v>7</v>
      </c>
      <c r="D65" s="5">
        <f>Quiz!H54</f>
        <v>13.6875</v>
      </c>
      <c r="E65" s="5">
        <f>Midterm!E54</f>
        <v>23.8</v>
      </c>
      <c r="F65" s="5">
        <f>Final!E54</f>
        <v>25.2</v>
      </c>
      <c r="G65" s="19">
        <f>SUM(D65:F65)</f>
        <v>62.6875</v>
      </c>
      <c r="H65" s="16">
        <v>1.6749999999999972</v>
      </c>
      <c r="I65" s="1">
        <v>62.6875</v>
      </c>
      <c r="J65" s="16">
        <v>1.6749999999999972</v>
      </c>
    </row>
    <row r="66" spans="1:10" x14ac:dyDescent="0.25">
      <c r="A66" s="1" t="s">
        <v>3</v>
      </c>
      <c r="B66" s="1">
        <v>20103048</v>
      </c>
      <c r="C66" s="1" t="s">
        <v>26</v>
      </c>
      <c r="D66" s="5">
        <f>Quiz!H30</f>
        <v>7.6125000000000007</v>
      </c>
      <c r="E66" s="5">
        <f>Midterm!E30</f>
        <v>23.8</v>
      </c>
      <c r="F66" s="5">
        <f>Final!E30</f>
        <v>29.6</v>
      </c>
      <c r="G66" s="19">
        <f>SUM(D66:F66)</f>
        <v>61.012500000000003</v>
      </c>
      <c r="H66" s="16">
        <v>2.2624999999999957</v>
      </c>
      <c r="I66" s="1">
        <v>61.012500000000003</v>
      </c>
      <c r="J66" s="16">
        <v>2.2624999999999957</v>
      </c>
    </row>
    <row r="67" spans="1:10" x14ac:dyDescent="0.25">
      <c r="A67" s="1" t="s">
        <v>3</v>
      </c>
      <c r="B67" s="1">
        <v>20103553</v>
      </c>
      <c r="C67" s="1" t="s">
        <v>28</v>
      </c>
      <c r="D67" s="5">
        <f>Quiz!H35</f>
        <v>6.75</v>
      </c>
      <c r="E67" s="5">
        <f>Midterm!E35</f>
        <v>19.600000000000001</v>
      </c>
      <c r="F67" s="5">
        <f>Final!E35</f>
        <v>32.400000000000006</v>
      </c>
      <c r="G67" s="19">
        <f>SUM(D67:F67)</f>
        <v>58.750000000000007</v>
      </c>
      <c r="H67" s="16" t="s">
        <v>89</v>
      </c>
      <c r="J67" s="16" t="s">
        <v>89</v>
      </c>
    </row>
    <row r="69" spans="1:10" x14ac:dyDescent="0.25">
      <c r="C69" s="1" t="s">
        <v>84</v>
      </c>
      <c r="D69" s="7">
        <v>15</v>
      </c>
      <c r="E69" s="7">
        <v>35</v>
      </c>
      <c r="F69" s="7">
        <v>50</v>
      </c>
      <c r="G69" s="20">
        <v>100</v>
      </c>
    </row>
    <row r="70" spans="1:10" x14ac:dyDescent="0.25">
      <c r="C70" s="1" t="s">
        <v>82</v>
      </c>
      <c r="D70" s="9">
        <f>MIN(D18:D67)</f>
        <v>6.75</v>
      </c>
      <c r="E70" s="9">
        <f>MIN(E18:E67)</f>
        <v>16.8</v>
      </c>
      <c r="F70" s="9">
        <f>MIN(F18:F67)</f>
        <v>25.2</v>
      </c>
      <c r="G70" s="9">
        <f>MIN(G18:G67)</f>
        <v>58.750000000000007</v>
      </c>
    </row>
    <row r="71" spans="1:10" x14ac:dyDescent="0.25">
      <c r="C71" s="1" t="s">
        <v>83</v>
      </c>
      <c r="D71" s="7">
        <f>MAX(D18:D67)</f>
        <v>15</v>
      </c>
      <c r="E71" s="7">
        <f>MAX(E18:E67)</f>
        <v>35</v>
      </c>
      <c r="F71" s="7">
        <f>MAX(F18:F67)</f>
        <v>37.200000000000003</v>
      </c>
      <c r="G71" s="7">
        <f>MAX(G18:G67)</f>
        <v>80.2</v>
      </c>
    </row>
    <row r="72" spans="1:10" x14ac:dyDescent="0.25">
      <c r="C72" s="1" t="s">
        <v>80</v>
      </c>
      <c r="D72" s="9">
        <f>AVERAGE(D18:D67)</f>
        <v>12.563249999999996</v>
      </c>
      <c r="E72" s="9">
        <f>AVERAGE(E18:E67)</f>
        <v>26.739999999999995</v>
      </c>
      <c r="F72" s="9">
        <f>AVERAGE(F18:F67)</f>
        <v>33.063999999999993</v>
      </c>
      <c r="G72" s="9">
        <f>AVERAGE(G18:G67)</f>
        <v>72.367249999999999</v>
      </c>
    </row>
    <row r="73" spans="1:10" x14ac:dyDescent="0.25">
      <c r="C73" s="1" t="s">
        <v>81</v>
      </c>
      <c r="D73" s="9">
        <f>STDEV(D18:D67)</f>
        <v>2.1425690431330149</v>
      </c>
      <c r="E73" s="9">
        <f>STDEV(E18:E67)</f>
        <v>3.5916569992136727</v>
      </c>
      <c r="F73" s="9">
        <f>STDEV(F18:F67)</f>
        <v>2.5914899976969359</v>
      </c>
      <c r="G73" s="9">
        <f>STDEV(G18:G67)</f>
        <v>5.613183103513677</v>
      </c>
    </row>
    <row r="75" spans="1:10" x14ac:dyDescent="0.25">
      <c r="F75" s="10"/>
      <c r="G75" s="10"/>
    </row>
    <row r="76" spans="1:10" x14ac:dyDescent="0.25">
      <c r="F76" s="10"/>
      <c r="G76" s="10"/>
    </row>
    <row r="77" spans="1:10" x14ac:dyDescent="0.25">
      <c r="F77" s="12"/>
      <c r="G77" s="12"/>
    </row>
    <row r="78" spans="1:10" x14ac:dyDescent="0.25">
      <c r="F78" s="12"/>
      <c r="G78" s="12"/>
    </row>
    <row r="79" spans="1:10" x14ac:dyDescent="0.25">
      <c r="F79" s="12"/>
      <c r="G79" s="12"/>
    </row>
    <row r="80" spans="1:10" x14ac:dyDescent="0.25">
      <c r="F80" s="12"/>
      <c r="G80" s="12"/>
    </row>
    <row r="81" spans="5:7" x14ac:dyDescent="0.25">
      <c r="F81" s="12"/>
      <c r="G81" s="12"/>
    </row>
    <row r="82" spans="5:7" x14ac:dyDescent="0.25">
      <c r="F82" s="13"/>
      <c r="G82" s="13"/>
    </row>
    <row r="83" spans="5:7" x14ac:dyDescent="0.25">
      <c r="E83" s="8"/>
      <c r="F83" s="13"/>
      <c r="G83" s="13"/>
    </row>
    <row r="84" spans="5:7" x14ac:dyDescent="0.25">
      <c r="E84" s="8"/>
      <c r="F84" s="13"/>
      <c r="G84" s="13"/>
    </row>
    <row r="85" spans="5:7" x14ac:dyDescent="0.25">
      <c r="F85" s="13"/>
      <c r="G85" s="13"/>
    </row>
    <row r="86" spans="5:7" x14ac:dyDescent="0.25">
      <c r="F86" s="13"/>
      <c r="G86" s="13"/>
    </row>
    <row r="87" spans="5:7" x14ac:dyDescent="0.25">
      <c r="F87" s="13"/>
      <c r="G87" s="13"/>
    </row>
    <row r="88" spans="5:7" x14ac:dyDescent="0.25">
      <c r="F88" s="11"/>
      <c r="G88" s="11"/>
    </row>
    <row r="89" spans="5:7" x14ac:dyDescent="0.25">
      <c r="F89" s="11"/>
      <c r="G89" s="11"/>
    </row>
    <row r="90" spans="5:7" x14ac:dyDescent="0.25">
      <c r="F90"/>
      <c r="G90" s="21"/>
    </row>
    <row r="91" spans="5:7" x14ac:dyDescent="0.25">
      <c r="F91"/>
      <c r="G91" s="21"/>
    </row>
    <row r="92" spans="5:7" x14ac:dyDescent="0.25">
      <c r="F92"/>
      <c r="G92" s="21"/>
    </row>
    <row r="93" spans="5:7" x14ac:dyDescent="0.25">
      <c r="F93"/>
      <c r="G93" s="21"/>
    </row>
  </sheetData>
  <sortState ref="A1:M67">
    <sortCondition descending="1" ref="G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72"/>
  <sheetViews>
    <sheetView workbookViewId="0">
      <selection activeCell="B1" sqref="B1:B1048576"/>
    </sheetView>
  </sheetViews>
  <sheetFormatPr defaultRowHeight="15" x14ac:dyDescent="0.25"/>
  <cols>
    <col min="1" max="1" width="16" style="1" bestFit="1" customWidth="1"/>
    <col min="2" max="2" width="9" style="6" bestFit="1" customWidth="1"/>
    <col min="3" max="3" width="27.85546875" style="1" bestFit="1" customWidth="1"/>
    <col min="4" max="4" width="6.42578125" bestFit="1" customWidth="1"/>
    <col min="8" max="8" width="12.140625" bestFit="1" customWidth="1"/>
  </cols>
  <sheetData>
    <row r="1" spans="1:8" x14ac:dyDescent="0.25">
      <c r="A1" s="2" t="s">
        <v>0</v>
      </c>
      <c r="B1" s="3" t="s">
        <v>1</v>
      </c>
      <c r="C1" s="2" t="s">
        <v>2</v>
      </c>
      <c r="D1" s="16" t="s">
        <v>70</v>
      </c>
      <c r="E1" s="16" t="s">
        <v>71</v>
      </c>
      <c r="F1" s="16" t="s">
        <v>72</v>
      </c>
      <c r="G1" s="16" t="s">
        <v>73</v>
      </c>
      <c r="H1" s="16" t="s">
        <v>78</v>
      </c>
    </row>
    <row r="2" spans="1:8" x14ac:dyDescent="0.25">
      <c r="A2" s="1" t="s">
        <v>3</v>
      </c>
      <c r="B2" s="1">
        <v>20100220</v>
      </c>
      <c r="C2" s="15" t="s">
        <v>21</v>
      </c>
      <c r="D2">
        <v>4.5</v>
      </c>
      <c r="E2">
        <v>4.5999999999999996</v>
      </c>
      <c r="F2">
        <v>3.5</v>
      </c>
      <c r="G2">
        <v>5</v>
      </c>
      <c r="H2" s="17">
        <f>(SUM(D2:G2))/20*15</f>
        <v>13.200000000000001</v>
      </c>
    </row>
    <row r="3" spans="1:8" x14ac:dyDescent="0.25">
      <c r="A3" s="1" t="s">
        <v>3</v>
      </c>
      <c r="B3" s="1">
        <v>20100321</v>
      </c>
      <c r="C3" s="1" t="s">
        <v>55</v>
      </c>
      <c r="D3">
        <v>4.5</v>
      </c>
      <c r="E3">
        <v>5</v>
      </c>
      <c r="F3">
        <v>5</v>
      </c>
      <c r="G3">
        <v>5</v>
      </c>
      <c r="H3" s="17">
        <f t="shared" ref="H3:H66" si="0">(SUM(D3:G3))/20*15</f>
        <v>14.625</v>
      </c>
    </row>
    <row r="4" spans="1:8" x14ac:dyDescent="0.25">
      <c r="A4" s="1" t="s">
        <v>3</v>
      </c>
      <c r="B4" s="1">
        <v>20100422</v>
      </c>
      <c r="C4" s="1" t="s">
        <v>31</v>
      </c>
      <c r="D4">
        <v>5</v>
      </c>
      <c r="E4">
        <v>5</v>
      </c>
      <c r="F4">
        <v>4.5</v>
      </c>
      <c r="G4">
        <v>0</v>
      </c>
      <c r="H4" s="17">
        <f t="shared" si="0"/>
        <v>10.875</v>
      </c>
    </row>
    <row r="5" spans="1:8" x14ac:dyDescent="0.25">
      <c r="A5" s="1" t="s">
        <v>3</v>
      </c>
      <c r="B5" s="1">
        <v>20100523</v>
      </c>
      <c r="C5" s="1" t="s">
        <v>65</v>
      </c>
      <c r="D5">
        <v>4.5</v>
      </c>
      <c r="E5">
        <v>4.2</v>
      </c>
      <c r="F5">
        <v>4</v>
      </c>
      <c r="G5">
        <v>5</v>
      </c>
      <c r="H5" s="17">
        <f t="shared" si="0"/>
        <v>13.275</v>
      </c>
    </row>
    <row r="6" spans="1:8" x14ac:dyDescent="0.25">
      <c r="A6" s="1" t="s">
        <v>3</v>
      </c>
      <c r="B6" s="1">
        <v>20100624</v>
      </c>
      <c r="C6" s="1" t="s">
        <v>47</v>
      </c>
      <c r="D6">
        <v>5</v>
      </c>
      <c r="E6">
        <v>5</v>
      </c>
      <c r="F6">
        <v>5</v>
      </c>
      <c r="G6">
        <v>5</v>
      </c>
      <c r="H6" s="17">
        <f t="shared" si="0"/>
        <v>15</v>
      </c>
    </row>
    <row r="7" spans="1:8" x14ac:dyDescent="0.25">
      <c r="A7" s="1" t="s">
        <v>3</v>
      </c>
      <c r="B7" s="1">
        <v>20100725</v>
      </c>
      <c r="C7" s="14" t="s">
        <v>12</v>
      </c>
      <c r="D7">
        <v>4.5</v>
      </c>
      <c r="E7">
        <v>5</v>
      </c>
      <c r="F7">
        <v>4.5</v>
      </c>
      <c r="G7">
        <v>5</v>
      </c>
      <c r="H7" s="17">
        <f t="shared" si="0"/>
        <v>14.25</v>
      </c>
    </row>
    <row r="8" spans="1:8" x14ac:dyDescent="0.25">
      <c r="A8" s="1" t="s">
        <v>3</v>
      </c>
      <c r="B8" s="1">
        <v>20100826</v>
      </c>
      <c r="C8" s="1" t="s">
        <v>66</v>
      </c>
      <c r="D8">
        <v>5</v>
      </c>
      <c r="E8">
        <v>5</v>
      </c>
      <c r="F8">
        <v>5</v>
      </c>
      <c r="G8">
        <v>0</v>
      </c>
      <c r="H8" s="17">
        <f t="shared" si="0"/>
        <v>11.25</v>
      </c>
    </row>
    <row r="9" spans="1:8" x14ac:dyDescent="0.25">
      <c r="A9" s="1" t="s">
        <v>3</v>
      </c>
      <c r="B9" s="1">
        <v>20100927</v>
      </c>
      <c r="C9" s="1" t="s">
        <v>64</v>
      </c>
      <c r="D9">
        <v>4</v>
      </c>
      <c r="E9">
        <v>5</v>
      </c>
      <c r="F9">
        <v>3.5</v>
      </c>
      <c r="G9">
        <v>4</v>
      </c>
      <c r="H9" s="17">
        <f t="shared" si="0"/>
        <v>12.375</v>
      </c>
    </row>
    <row r="10" spans="1:8" x14ac:dyDescent="0.25">
      <c r="A10" s="1" t="s">
        <v>3</v>
      </c>
      <c r="B10" s="1">
        <v>20101028</v>
      </c>
      <c r="C10" s="1" t="s">
        <v>48</v>
      </c>
      <c r="D10">
        <v>4.25</v>
      </c>
      <c r="E10">
        <v>5</v>
      </c>
      <c r="F10">
        <v>5</v>
      </c>
      <c r="G10">
        <v>5</v>
      </c>
      <c r="H10" s="17">
        <f t="shared" si="0"/>
        <v>14.4375</v>
      </c>
    </row>
    <row r="11" spans="1:8" x14ac:dyDescent="0.25">
      <c r="A11" s="1" t="s">
        <v>3</v>
      </c>
      <c r="B11" s="1">
        <v>20101129</v>
      </c>
      <c r="C11" s="1" t="s">
        <v>60</v>
      </c>
      <c r="D11">
        <v>4.25</v>
      </c>
      <c r="E11">
        <v>3</v>
      </c>
      <c r="F11">
        <v>3.5</v>
      </c>
      <c r="G11">
        <v>0</v>
      </c>
      <c r="H11" s="17">
        <f t="shared" si="0"/>
        <v>8.0625</v>
      </c>
    </row>
    <row r="12" spans="1:8" x14ac:dyDescent="0.25">
      <c r="A12" s="1" t="s">
        <v>3</v>
      </c>
      <c r="B12" s="1">
        <v>20101230</v>
      </c>
      <c r="C12" s="1" t="s">
        <v>58</v>
      </c>
      <c r="D12">
        <v>4.75</v>
      </c>
      <c r="E12">
        <v>5</v>
      </c>
      <c r="F12">
        <v>5</v>
      </c>
      <c r="G12">
        <v>4</v>
      </c>
      <c r="H12" s="17">
        <f t="shared" si="0"/>
        <v>14.0625</v>
      </c>
    </row>
    <row r="13" spans="1:8" x14ac:dyDescent="0.25">
      <c r="A13" s="1" t="s">
        <v>3</v>
      </c>
      <c r="B13" s="1">
        <v>20101331</v>
      </c>
      <c r="C13" s="1" t="s">
        <v>46</v>
      </c>
      <c r="D13">
        <v>4.75</v>
      </c>
      <c r="E13">
        <v>5</v>
      </c>
      <c r="F13">
        <v>5</v>
      </c>
      <c r="G13">
        <v>4</v>
      </c>
      <c r="H13" s="17">
        <f t="shared" si="0"/>
        <v>14.0625</v>
      </c>
    </row>
    <row r="14" spans="1:8" x14ac:dyDescent="0.25">
      <c r="A14" s="1" t="s">
        <v>3</v>
      </c>
      <c r="B14" s="1">
        <v>20101432</v>
      </c>
      <c r="C14" s="14" t="s">
        <v>13</v>
      </c>
      <c r="D14">
        <v>4.25</v>
      </c>
      <c r="E14">
        <v>5</v>
      </c>
      <c r="F14">
        <v>5</v>
      </c>
      <c r="G14">
        <v>5</v>
      </c>
      <c r="H14" s="17">
        <f t="shared" si="0"/>
        <v>14.4375</v>
      </c>
    </row>
    <row r="15" spans="1:8" x14ac:dyDescent="0.25">
      <c r="A15" s="1" t="s">
        <v>3</v>
      </c>
      <c r="B15" s="1">
        <v>20101533</v>
      </c>
      <c r="C15" s="1" t="s">
        <v>69</v>
      </c>
      <c r="D15">
        <v>4.25</v>
      </c>
      <c r="E15">
        <v>5</v>
      </c>
      <c r="F15">
        <v>5</v>
      </c>
      <c r="G15">
        <v>5</v>
      </c>
      <c r="H15" s="17">
        <f t="shared" si="0"/>
        <v>14.4375</v>
      </c>
    </row>
    <row r="16" spans="1:8" x14ac:dyDescent="0.25">
      <c r="A16" s="1" t="s">
        <v>3</v>
      </c>
      <c r="B16" s="1">
        <v>20101634</v>
      </c>
      <c r="C16" s="1" t="s">
        <v>25</v>
      </c>
      <c r="D16">
        <v>4.75</v>
      </c>
      <c r="E16">
        <v>5</v>
      </c>
      <c r="F16">
        <v>5</v>
      </c>
      <c r="G16">
        <v>5</v>
      </c>
      <c r="H16" s="17">
        <f t="shared" si="0"/>
        <v>14.8125</v>
      </c>
    </row>
    <row r="17" spans="1:8" x14ac:dyDescent="0.25">
      <c r="A17" s="1" t="s">
        <v>3</v>
      </c>
      <c r="B17" s="1">
        <v>20101735</v>
      </c>
      <c r="C17" s="1" t="s">
        <v>67</v>
      </c>
      <c r="D17">
        <v>3</v>
      </c>
      <c r="E17">
        <v>5</v>
      </c>
      <c r="F17">
        <v>4.5</v>
      </c>
      <c r="G17">
        <v>5</v>
      </c>
      <c r="H17" s="17">
        <f t="shared" si="0"/>
        <v>13.125</v>
      </c>
    </row>
    <row r="18" spans="1:8" x14ac:dyDescent="0.25">
      <c r="A18" s="1" t="s">
        <v>3</v>
      </c>
      <c r="B18" s="1">
        <v>20101836</v>
      </c>
      <c r="C18" s="1" t="s">
        <v>62</v>
      </c>
      <c r="D18">
        <v>5</v>
      </c>
      <c r="E18">
        <v>5</v>
      </c>
      <c r="F18">
        <v>5</v>
      </c>
      <c r="G18">
        <v>5</v>
      </c>
      <c r="H18" s="17">
        <f t="shared" si="0"/>
        <v>15</v>
      </c>
    </row>
    <row r="19" spans="1:8" x14ac:dyDescent="0.25">
      <c r="A19" s="1" t="s">
        <v>3</v>
      </c>
      <c r="B19" s="1">
        <v>20101937</v>
      </c>
      <c r="C19" s="1" t="s">
        <v>24</v>
      </c>
      <c r="D19">
        <v>5</v>
      </c>
      <c r="E19">
        <v>5</v>
      </c>
      <c r="F19">
        <v>5</v>
      </c>
      <c r="G19">
        <v>5</v>
      </c>
      <c r="H19" s="17">
        <f t="shared" si="0"/>
        <v>15</v>
      </c>
    </row>
    <row r="20" spans="1:8" x14ac:dyDescent="0.25">
      <c r="A20" s="1" t="s">
        <v>3</v>
      </c>
      <c r="B20" s="1">
        <v>20102038</v>
      </c>
      <c r="C20" s="1" t="s">
        <v>63</v>
      </c>
      <c r="D20">
        <v>4.75</v>
      </c>
      <c r="E20">
        <v>5</v>
      </c>
      <c r="F20">
        <v>5</v>
      </c>
      <c r="G20">
        <v>5</v>
      </c>
      <c r="H20" s="17">
        <f t="shared" si="0"/>
        <v>14.8125</v>
      </c>
    </row>
    <row r="21" spans="1:8" x14ac:dyDescent="0.25">
      <c r="A21" s="1" t="s">
        <v>3</v>
      </c>
      <c r="B21" s="1">
        <v>20102139</v>
      </c>
      <c r="C21" s="15" t="s">
        <v>4</v>
      </c>
      <c r="D21">
        <v>4.75</v>
      </c>
      <c r="E21">
        <v>4.2</v>
      </c>
      <c r="F21">
        <v>5</v>
      </c>
      <c r="G21">
        <v>5</v>
      </c>
      <c r="H21" s="17">
        <f t="shared" si="0"/>
        <v>14.2125</v>
      </c>
    </row>
    <row r="22" spans="1:8" x14ac:dyDescent="0.25">
      <c r="A22" s="1" t="s">
        <v>3</v>
      </c>
      <c r="B22" s="1">
        <v>20102240</v>
      </c>
      <c r="C22" s="14" t="s">
        <v>11</v>
      </c>
      <c r="D22">
        <v>4</v>
      </c>
      <c r="E22">
        <v>4.2</v>
      </c>
      <c r="F22">
        <v>3.5</v>
      </c>
      <c r="G22">
        <v>5</v>
      </c>
      <c r="H22" s="17">
        <f t="shared" si="0"/>
        <v>12.524999999999999</v>
      </c>
    </row>
    <row r="23" spans="1:8" x14ac:dyDescent="0.25">
      <c r="A23" s="1" t="s">
        <v>3</v>
      </c>
      <c r="B23" s="1">
        <v>20102341</v>
      </c>
      <c r="C23" s="14" t="s">
        <v>17</v>
      </c>
      <c r="D23">
        <v>4.75</v>
      </c>
      <c r="E23">
        <v>4.5999999999999996</v>
      </c>
      <c r="F23">
        <v>0</v>
      </c>
      <c r="G23">
        <v>5</v>
      </c>
      <c r="H23" s="17">
        <f t="shared" si="0"/>
        <v>10.762500000000001</v>
      </c>
    </row>
    <row r="24" spans="1:8" x14ac:dyDescent="0.25">
      <c r="A24" s="1" t="s">
        <v>3</v>
      </c>
      <c r="B24" s="1">
        <v>20102442</v>
      </c>
      <c r="C24" s="1" t="s">
        <v>44</v>
      </c>
      <c r="D24">
        <v>4.75</v>
      </c>
      <c r="E24">
        <v>4.5</v>
      </c>
      <c r="F24">
        <v>3</v>
      </c>
      <c r="G24">
        <v>5</v>
      </c>
      <c r="H24" s="17">
        <f t="shared" si="0"/>
        <v>12.9375</v>
      </c>
    </row>
    <row r="25" spans="1:8" x14ac:dyDescent="0.25">
      <c r="A25" s="1" t="s">
        <v>3</v>
      </c>
      <c r="B25" s="1">
        <v>20102543</v>
      </c>
      <c r="C25" s="1" t="s">
        <v>51</v>
      </c>
      <c r="D25">
        <v>5</v>
      </c>
      <c r="E25">
        <v>2.5</v>
      </c>
      <c r="F25">
        <v>5</v>
      </c>
      <c r="G25">
        <v>4</v>
      </c>
      <c r="H25" s="17">
        <f t="shared" si="0"/>
        <v>12.375</v>
      </c>
    </row>
    <row r="26" spans="1:8" x14ac:dyDescent="0.25">
      <c r="A26" s="1" t="s">
        <v>3</v>
      </c>
      <c r="B26" s="1">
        <v>20102644</v>
      </c>
      <c r="C26" s="14" t="s">
        <v>18</v>
      </c>
      <c r="D26">
        <v>4.75</v>
      </c>
      <c r="E26">
        <v>5</v>
      </c>
      <c r="F26">
        <v>5</v>
      </c>
      <c r="G26">
        <v>5</v>
      </c>
      <c r="H26" s="17">
        <f t="shared" si="0"/>
        <v>14.8125</v>
      </c>
    </row>
    <row r="27" spans="1:8" x14ac:dyDescent="0.25">
      <c r="A27" s="1" t="s">
        <v>3</v>
      </c>
      <c r="B27" s="1">
        <v>20102745</v>
      </c>
      <c r="C27" s="14" t="s">
        <v>15</v>
      </c>
      <c r="D27">
        <v>4.5</v>
      </c>
      <c r="E27">
        <v>0</v>
      </c>
      <c r="F27">
        <v>5</v>
      </c>
      <c r="G27">
        <v>5</v>
      </c>
      <c r="H27" s="17">
        <f t="shared" si="0"/>
        <v>10.875</v>
      </c>
    </row>
    <row r="28" spans="1:8" x14ac:dyDescent="0.25">
      <c r="A28" s="1" t="s">
        <v>3</v>
      </c>
      <c r="B28" s="1">
        <v>20102846</v>
      </c>
      <c r="C28" s="1" t="s">
        <v>33</v>
      </c>
      <c r="D28">
        <v>3.5</v>
      </c>
      <c r="E28">
        <v>4.0999999999999996</v>
      </c>
      <c r="F28">
        <v>3</v>
      </c>
      <c r="G28">
        <v>2</v>
      </c>
      <c r="H28" s="17">
        <f t="shared" si="0"/>
        <v>9.4499999999999993</v>
      </c>
    </row>
    <row r="29" spans="1:8" x14ac:dyDescent="0.25">
      <c r="A29" s="1" t="s">
        <v>3</v>
      </c>
      <c r="B29" s="1">
        <v>20102947</v>
      </c>
      <c r="C29" s="14" t="s">
        <v>16</v>
      </c>
      <c r="D29">
        <v>3.75</v>
      </c>
      <c r="E29">
        <v>2.8</v>
      </c>
      <c r="F29">
        <v>5</v>
      </c>
      <c r="G29">
        <v>5</v>
      </c>
      <c r="H29" s="17">
        <f t="shared" si="0"/>
        <v>12.4125</v>
      </c>
    </row>
    <row r="30" spans="1:8" x14ac:dyDescent="0.25">
      <c r="A30" s="1" t="s">
        <v>3</v>
      </c>
      <c r="B30" s="1">
        <v>20103048</v>
      </c>
      <c r="C30" s="1" t="s">
        <v>26</v>
      </c>
      <c r="D30">
        <v>3.75</v>
      </c>
      <c r="E30">
        <v>2.9</v>
      </c>
      <c r="F30">
        <v>3.5</v>
      </c>
      <c r="G30">
        <v>0</v>
      </c>
      <c r="H30" s="17">
        <f t="shared" si="0"/>
        <v>7.6125000000000007</v>
      </c>
    </row>
    <row r="31" spans="1:8" x14ac:dyDescent="0.25">
      <c r="A31" s="1" t="s">
        <v>3</v>
      </c>
      <c r="B31" s="1">
        <v>20103149</v>
      </c>
      <c r="C31" s="1" t="s">
        <v>37</v>
      </c>
      <c r="D31">
        <v>3.75</v>
      </c>
      <c r="E31">
        <v>0</v>
      </c>
      <c r="F31">
        <v>4</v>
      </c>
      <c r="G31">
        <v>4</v>
      </c>
      <c r="H31" s="17">
        <f t="shared" si="0"/>
        <v>8.8125</v>
      </c>
    </row>
    <row r="32" spans="1:8" x14ac:dyDescent="0.25">
      <c r="A32" s="1" t="s">
        <v>3</v>
      </c>
      <c r="B32" s="1">
        <v>20103250</v>
      </c>
      <c r="C32" s="1" t="s">
        <v>27</v>
      </c>
      <c r="D32">
        <v>4.25</v>
      </c>
      <c r="E32">
        <v>5</v>
      </c>
      <c r="F32">
        <v>5</v>
      </c>
      <c r="G32">
        <v>5</v>
      </c>
      <c r="H32" s="17">
        <f t="shared" si="0"/>
        <v>14.4375</v>
      </c>
    </row>
    <row r="33" spans="1:8" x14ac:dyDescent="0.25">
      <c r="A33" s="1" t="s">
        <v>3</v>
      </c>
      <c r="B33" s="1">
        <v>20103351</v>
      </c>
      <c r="C33" s="1" t="s">
        <v>30</v>
      </c>
      <c r="D33">
        <v>5</v>
      </c>
      <c r="E33">
        <v>5</v>
      </c>
      <c r="F33">
        <v>3.5</v>
      </c>
      <c r="G33">
        <v>5</v>
      </c>
      <c r="H33" s="17">
        <f t="shared" si="0"/>
        <v>13.875</v>
      </c>
    </row>
    <row r="34" spans="1:8" x14ac:dyDescent="0.25">
      <c r="A34" s="1" t="s">
        <v>3</v>
      </c>
      <c r="B34" s="1">
        <v>20103452</v>
      </c>
      <c r="C34" s="14" t="s">
        <v>6</v>
      </c>
      <c r="D34">
        <v>5</v>
      </c>
      <c r="E34">
        <v>0</v>
      </c>
      <c r="F34">
        <v>5</v>
      </c>
      <c r="G34">
        <v>4</v>
      </c>
      <c r="H34" s="17">
        <f t="shared" si="0"/>
        <v>10.5</v>
      </c>
    </row>
    <row r="35" spans="1:8" x14ac:dyDescent="0.25">
      <c r="A35" s="1" t="s">
        <v>3</v>
      </c>
      <c r="B35" s="1">
        <v>20103553</v>
      </c>
      <c r="C35" s="1" t="s">
        <v>28</v>
      </c>
      <c r="D35">
        <v>4.5</v>
      </c>
      <c r="E35">
        <v>4.5</v>
      </c>
      <c r="F35">
        <v>0</v>
      </c>
      <c r="G35">
        <v>0</v>
      </c>
      <c r="H35" s="17">
        <f t="shared" si="0"/>
        <v>6.75</v>
      </c>
    </row>
    <row r="36" spans="1:8" x14ac:dyDescent="0.25">
      <c r="A36" s="1" t="s">
        <v>3</v>
      </c>
      <c r="B36" s="1">
        <v>20103654</v>
      </c>
      <c r="C36" s="1" t="s">
        <v>53</v>
      </c>
      <c r="D36">
        <v>5</v>
      </c>
      <c r="E36">
        <v>5</v>
      </c>
      <c r="F36">
        <v>5</v>
      </c>
      <c r="G36">
        <v>5</v>
      </c>
      <c r="H36" s="17">
        <f t="shared" si="0"/>
        <v>15</v>
      </c>
    </row>
    <row r="37" spans="1:8" x14ac:dyDescent="0.25">
      <c r="A37" s="1" t="s">
        <v>3</v>
      </c>
      <c r="B37" s="1">
        <v>20103755</v>
      </c>
      <c r="C37" s="1" t="s">
        <v>38</v>
      </c>
      <c r="D37">
        <v>5</v>
      </c>
      <c r="E37">
        <v>4.2</v>
      </c>
      <c r="F37">
        <v>3</v>
      </c>
      <c r="G37">
        <v>5</v>
      </c>
      <c r="H37" s="17">
        <f t="shared" si="0"/>
        <v>12.9</v>
      </c>
    </row>
    <row r="38" spans="1:8" x14ac:dyDescent="0.25">
      <c r="A38" s="1" t="s">
        <v>3</v>
      </c>
      <c r="B38" s="1">
        <v>20103856</v>
      </c>
      <c r="C38" s="1" t="s">
        <v>59</v>
      </c>
      <c r="D38">
        <v>4.5</v>
      </c>
      <c r="E38">
        <v>4.2</v>
      </c>
      <c r="F38">
        <v>5</v>
      </c>
      <c r="G38">
        <v>3.5</v>
      </c>
      <c r="H38" s="17">
        <f t="shared" si="0"/>
        <v>12.9</v>
      </c>
    </row>
    <row r="39" spans="1:8" x14ac:dyDescent="0.25">
      <c r="A39" s="1" t="s">
        <v>3</v>
      </c>
      <c r="B39" s="1">
        <v>20103957</v>
      </c>
      <c r="C39" s="1" t="s">
        <v>35</v>
      </c>
      <c r="D39">
        <v>4.25</v>
      </c>
      <c r="E39">
        <v>5</v>
      </c>
      <c r="F39">
        <v>5</v>
      </c>
      <c r="G39">
        <v>4</v>
      </c>
      <c r="H39" s="17">
        <f t="shared" si="0"/>
        <v>13.6875</v>
      </c>
    </row>
    <row r="40" spans="1:8" x14ac:dyDescent="0.25">
      <c r="A40" s="1" t="s">
        <v>3</v>
      </c>
      <c r="B40" s="1">
        <v>20104058</v>
      </c>
      <c r="C40" s="15" t="s">
        <v>22</v>
      </c>
      <c r="D40">
        <v>5</v>
      </c>
      <c r="E40">
        <v>5</v>
      </c>
      <c r="F40">
        <v>5</v>
      </c>
      <c r="G40">
        <v>5</v>
      </c>
      <c r="H40" s="17">
        <f t="shared" si="0"/>
        <v>15</v>
      </c>
    </row>
    <row r="41" spans="1:8" x14ac:dyDescent="0.25">
      <c r="A41" s="1" t="s">
        <v>3</v>
      </c>
      <c r="B41" s="1">
        <v>20104159</v>
      </c>
      <c r="C41" s="1" t="s">
        <v>29</v>
      </c>
      <c r="D41">
        <v>5</v>
      </c>
      <c r="E41">
        <v>5</v>
      </c>
      <c r="F41">
        <v>5</v>
      </c>
      <c r="G41">
        <v>5</v>
      </c>
      <c r="H41" s="17">
        <f t="shared" si="0"/>
        <v>15</v>
      </c>
    </row>
    <row r="42" spans="1:8" x14ac:dyDescent="0.25">
      <c r="A42" s="1" t="s">
        <v>3</v>
      </c>
      <c r="B42" s="1">
        <v>20104260</v>
      </c>
      <c r="C42" s="1" t="s">
        <v>56</v>
      </c>
      <c r="D42">
        <v>4.5</v>
      </c>
      <c r="E42">
        <v>5</v>
      </c>
      <c r="F42">
        <v>4.5</v>
      </c>
      <c r="G42">
        <v>5</v>
      </c>
      <c r="H42" s="17">
        <f t="shared" si="0"/>
        <v>14.25</v>
      </c>
    </row>
    <row r="43" spans="1:8" x14ac:dyDescent="0.25">
      <c r="A43" s="1" t="s">
        <v>3</v>
      </c>
      <c r="B43" s="1">
        <v>20104361</v>
      </c>
      <c r="C43" s="1" t="s">
        <v>49</v>
      </c>
      <c r="D43">
        <v>3.75</v>
      </c>
      <c r="E43">
        <v>5</v>
      </c>
      <c r="F43">
        <v>5</v>
      </c>
      <c r="G43">
        <v>5</v>
      </c>
      <c r="H43" s="17">
        <f t="shared" si="0"/>
        <v>14.0625</v>
      </c>
    </row>
    <row r="44" spans="1:8" x14ac:dyDescent="0.25">
      <c r="A44" s="1" t="s">
        <v>3</v>
      </c>
      <c r="B44" s="1">
        <v>20104462</v>
      </c>
      <c r="C44" s="1" t="s">
        <v>45</v>
      </c>
      <c r="D44">
        <v>5</v>
      </c>
      <c r="E44">
        <v>3</v>
      </c>
      <c r="F44">
        <v>5</v>
      </c>
      <c r="G44">
        <v>5</v>
      </c>
      <c r="H44" s="17">
        <f t="shared" si="0"/>
        <v>13.5</v>
      </c>
    </row>
    <row r="45" spans="1:8" x14ac:dyDescent="0.25">
      <c r="A45" s="1" t="s">
        <v>3</v>
      </c>
      <c r="B45" s="1">
        <v>20104563</v>
      </c>
      <c r="C45" s="14" t="s">
        <v>10</v>
      </c>
      <c r="D45">
        <v>5</v>
      </c>
      <c r="E45">
        <v>5</v>
      </c>
      <c r="F45">
        <v>5</v>
      </c>
      <c r="G45">
        <v>5</v>
      </c>
      <c r="H45" s="17">
        <f t="shared" si="0"/>
        <v>15</v>
      </c>
    </row>
    <row r="46" spans="1:8" x14ac:dyDescent="0.25">
      <c r="A46" s="1" t="s">
        <v>3</v>
      </c>
      <c r="B46" s="1">
        <v>20104664</v>
      </c>
      <c r="C46" s="1" t="s">
        <v>34</v>
      </c>
      <c r="D46">
        <v>5</v>
      </c>
      <c r="E46">
        <v>5</v>
      </c>
      <c r="F46">
        <v>5</v>
      </c>
      <c r="G46">
        <v>0</v>
      </c>
      <c r="H46" s="17">
        <f t="shared" si="0"/>
        <v>11.25</v>
      </c>
    </row>
    <row r="47" spans="1:8" x14ac:dyDescent="0.25">
      <c r="A47" s="1" t="s">
        <v>3</v>
      </c>
      <c r="B47" s="1">
        <v>20104765</v>
      </c>
      <c r="C47" s="14" t="s">
        <v>19</v>
      </c>
      <c r="D47">
        <v>4.5</v>
      </c>
      <c r="E47">
        <v>5</v>
      </c>
      <c r="F47">
        <v>5</v>
      </c>
      <c r="G47">
        <v>5</v>
      </c>
      <c r="H47" s="17">
        <f t="shared" si="0"/>
        <v>14.625</v>
      </c>
    </row>
    <row r="48" spans="1:8" x14ac:dyDescent="0.25">
      <c r="A48" s="1" t="s">
        <v>3</v>
      </c>
      <c r="B48" s="1">
        <v>20104866</v>
      </c>
      <c r="C48" s="1" t="s">
        <v>23</v>
      </c>
      <c r="D48">
        <v>4</v>
      </c>
      <c r="E48">
        <v>5</v>
      </c>
      <c r="F48">
        <v>4.5</v>
      </c>
      <c r="G48">
        <v>5</v>
      </c>
      <c r="H48" s="17">
        <f t="shared" si="0"/>
        <v>13.875</v>
      </c>
    </row>
    <row r="49" spans="1:8" x14ac:dyDescent="0.25">
      <c r="A49" s="1" t="s">
        <v>3</v>
      </c>
      <c r="B49" s="1">
        <v>20104967</v>
      </c>
      <c r="C49" s="14" t="s">
        <v>20</v>
      </c>
      <c r="D49">
        <v>4.5</v>
      </c>
      <c r="E49">
        <v>3.8</v>
      </c>
      <c r="F49">
        <v>3.5</v>
      </c>
      <c r="G49">
        <v>5</v>
      </c>
      <c r="H49" s="17">
        <f t="shared" si="0"/>
        <v>12.600000000000001</v>
      </c>
    </row>
    <row r="50" spans="1:8" x14ac:dyDescent="0.25">
      <c r="A50" s="1" t="s">
        <v>3</v>
      </c>
      <c r="B50" s="1">
        <v>20105068</v>
      </c>
      <c r="C50" s="1" t="s">
        <v>32</v>
      </c>
      <c r="D50">
        <v>4</v>
      </c>
      <c r="E50">
        <v>3</v>
      </c>
      <c r="F50">
        <v>5</v>
      </c>
      <c r="G50">
        <v>0</v>
      </c>
      <c r="H50" s="17">
        <f t="shared" si="0"/>
        <v>9</v>
      </c>
    </row>
    <row r="51" spans="1:8" x14ac:dyDescent="0.25">
      <c r="A51" s="1" t="s">
        <v>3</v>
      </c>
      <c r="B51" s="1">
        <v>20105169</v>
      </c>
      <c r="C51" s="1" t="s">
        <v>40</v>
      </c>
      <c r="D51">
        <v>4</v>
      </c>
      <c r="E51">
        <v>5</v>
      </c>
      <c r="F51">
        <v>3.5</v>
      </c>
      <c r="G51">
        <v>4</v>
      </c>
      <c r="H51" s="17">
        <f t="shared" si="0"/>
        <v>12.375</v>
      </c>
    </row>
    <row r="52" spans="1:8" x14ac:dyDescent="0.25">
      <c r="A52" s="1" t="s">
        <v>3</v>
      </c>
      <c r="B52" s="1">
        <v>20105270</v>
      </c>
      <c r="C52" s="1" t="s">
        <v>52</v>
      </c>
      <c r="D52">
        <v>4.75</v>
      </c>
      <c r="E52">
        <v>3.8</v>
      </c>
      <c r="F52">
        <v>3.5</v>
      </c>
      <c r="G52">
        <v>4</v>
      </c>
      <c r="H52" s="17">
        <f t="shared" si="0"/>
        <v>12.0375</v>
      </c>
    </row>
    <row r="53" spans="1:8" x14ac:dyDescent="0.25">
      <c r="A53" s="1" t="s">
        <v>3</v>
      </c>
      <c r="B53" s="1">
        <v>20105371</v>
      </c>
      <c r="C53" s="1" t="s">
        <v>61</v>
      </c>
      <c r="D53">
        <v>4</v>
      </c>
      <c r="E53">
        <v>2.8</v>
      </c>
      <c r="F53">
        <v>5</v>
      </c>
      <c r="G53">
        <v>3</v>
      </c>
      <c r="H53" s="17">
        <f t="shared" si="0"/>
        <v>11.1</v>
      </c>
    </row>
    <row r="54" spans="1:8" x14ac:dyDescent="0.25">
      <c r="A54" s="1" t="s">
        <v>3</v>
      </c>
      <c r="B54" s="1">
        <v>20105472</v>
      </c>
      <c r="C54" s="14" t="s">
        <v>7</v>
      </c>
      <c r="D54">
        <v>4.25</v>
      </c>
      <c r="E54">
        <v>5</v>
      </c>
      <c r="F54">
        <v>4</v>
      </c>
      <c r="G54">
        <v>5</v>
      </c>
      <c r="H54" s="17">
        <f t="shared" si="0"/>
        <v>13.6875</v>
      </c>
    </row>
    <row r="55" spans="1:8" x14ac:dyDescent="0.25">
      <c r="A55" s="1" t="s">
        <v>3</v>
      </c>
      <c r="B55" s="1">
        <v>20105573</v>
      </c>
      <c r="C55" s="1" t="s">
        <v>68</v>
      </c>
      <c r="D55">
        <v>3.5</v>
      </c>
      <c r="E55">
        <v>0</v>
      </c>
      <c r="F55">
        <v>5</v>
      </c>
      <c r="G55">
        <v>4</v>
      </c>
      <c r="H55" s="17">
        <f t="shared" si="0"/>
        <v>9.375</v>
      </c>
    </row>
    <row r="56" spans="1:8" x14ac:dyDescent="0.25">
      <c r="A56" s="1" t="s">
        <v>3</v>
      </c>
      <c r="B56" s="1">
        <v>20105674</v>
      </c>
      <c r="C56" s="14" t="s">
        <v>14</v>
      </c>
      <c r="D56">
        <v>5</v>
      </c>
      <c r="E56">
        <v>0</v>
      </c>
      <c r="F56">
        <v>5</v>
      </c>
      <c r="G56">
        <v>5</v>
      </c>
      <c r="H56" s="17">
        <f t="shared" si="0"/>
        <v>11.25</v>
      </c>
    </row>
    <row r="57" spans="1:8" x14ac:dyDescent="0.25">
      <c r="A57" s="1" t="s">
        <v>3</v>
      </c>
      <c r="B57" s="1">
        <v>20105775</v>
      </c>
      <c r="C57" s="1" t="s">
        <v>41</v>
      </c>
      <c r="D57">
        <v>5</v>
      </c>
      <c r="E57">
        <v>5</v>
      </c>
      <c r="F57">
        <v>0</v>
      </c>
      <c r="G57">
        <v>5</v>
      </c>
      <c r="H57" s="17">
        <f t="shared" si="0"/>
        <v>11.25</v>
      </c>
    </row>
    <row r="58" spans="1:8" x14ac:dyDescent="0.25">
      <c r="A58" s="1" t="s">
        <v>3</v>
      </c>
      <c r="B58" s="1">
        <v>20105876</v>
      </c>
      <c r="C58" s="1" t="s">
        <v>42</v>
      </c>
      <c r="D58">
        <v>4.5</v>
      </c>
      <c r="E58">
        <v>5</v>
      </c>
      <c r="F58">
        <v>5</v>
      </c>
      <c r="G58">
        <v>5</v>
      </c>
      <c r="H58" s="17">
        <f t="shared" si="0"/>
        <v>14.625</v>
      </c>
    </row>
    <row r="59" spans="1:8" x14ac:dyDescent="0.25">
      <c r="A59" s="1" t="s">
        <v>3</v>
      </c>
      <c r="B59" s="1">
        <v>20105977</v>
      </c>
      <c r="C59" s="14" t="s">
        <v>9</v>
      </c>
      <c r="D59">
        <v>4.75</v>
      </c>
      <c r="E59">
        <v>4.5999999999999996</v>
      </c>
      <c r="F59">
        <v>5</v>
      </c>
      <c r="G59">
        <v>5</v>
      </c>
      <c r="H59" s="17">
        <f t="shared" si="0"/>
        <v>14.512500000000001</v>
      </c>
    </row>
    <row r="60" spans="1:8" x14ac:dyDescent="0.25">
      <c r="A60" s="1" t="s">
        <v>3</v>
      </c>
      <c r="B60" s="1">
        <v>20106078</v>
      </c>
      <c r="C60" s="1" t="s">
        <v>39</v>
      </c>
      <c r="D60">
        <v>4.5</v>
      </c>
      <c r="E60">
        <v>3.8</v>
      </c>
      <c r="F60">
        <v>5</v>
      </c>
      <c r="G60">
        <v>3.5</v>
      </c>
      <c r="H60" s="17">
        <f t="shared" si="0"/>
        <v>12.600000000000001</v>
      </c>
    </row>
    <row r="61" spans="1:8" x14ac:dyDescent="0.25">
      <c r="A61" s="1" t="s">
        <v>3</v>
      </c>
      <c r="B61" s="1">
        <v>20106179</v>
      </c>
      <c r="C61" s="1" t="s">
        <v>36</v>
      </c>
      <c r="D61">
        <v>4.5</v>
      </c>
      <c r="E61">
        <v>4.2</v>
      </c>
      <c r="F61">
        <v>5</v>
      </c>
      <c r="G61">
        <v>4</v>
      </c>
      <c r="H61" s="17">
        <f t="shared" si="0"/>
        <v>13.275</v>
      </c>
    </row>
    <row r="62" spans="1:8" x14ac:dyDescent="0.25">
      <c r="A62" s="1" t="s">
        <v>3</v>
      </c>
      <c r="B62" s="1">
        <v>20106280</v>
      </c>
      <c r="C62" s="14" t="s">
        <v>5</v>
      </c>
      <c r="D62">
        <v>4</v>
      </c>
      <c r="E62">
        <v>5</v>
      </c>
      <c r="F62">
        <v>5</v>
      </c>
      <c r="G62">
        <v>5</v>
      </c>
      <c r="H62" s="17">
        <f t="shared" si="0"/>
        <v>14.25</v>
      </c>
    </row>
    <row r="63" spans="1:8" x14ac:dyDescent="0.25">
      <c r="A63" s="1" t="s">
        <v>3</v>
      </c>
      <c r="B63" s="1">
        <v>20106381</v>
      </c>
      <c r="C63" s="1" t="s">
        <v>43</v>
      </c>
      <c r="D63">
        <v>4.25</v>
      </c>
      <c r="E63">
        <v>5</v>
      </c>
      <c r="F63">
        <v>5</v>
      </c>
      <c r="G63">
        <v>5</v>
      </c>
      <c r="H63" s="17">
        <f t="shared" si="0"/>
        <v>14.4375</v>
      </c>
    </row>
    <row r="64" spans="1:8" x14ac:dyDescent="0.25">
      <c r="A64" s="1" t="s">
        <v>3</v>
      </c>
      <c r="B64" s="1">
        <v>20106482</v>
      </c>
      <c r="C64" s="1" t="s">
        <v>54</v>
      </c>
      <c r="D64">
        <v>4.75</v>
      </c>
      <c r="E64">
        <v>4.2</v>
      </c>
      <c r="F64">
        <v>5</v>
      </c>
      <c r="G64">
        <v>5</v>
      </c>
      <c r="H64" s="17">
        <f t="shared" si="0"/>
        <v>14.2125</v>
      </c>
    </row>
    <row r="65" spans="1:8" x14ac:dyDescent="0.25">
      <c r="A65" s="1" t="s">
        <v>3</v>
      </c>
      <c r="B65" s="1">
        <v>20106583</v>
      </c>
      <c r="C65" s="14" t="s">
        <v>8</v>
      </c>
      <c r="D65">
        <v>5</v>
      </c>
      <c r="E65">
        <v>5</v>
      </c>
      <c r="F65">
        <v>5</v>
      </c>
      <c r="G65">
        <v>4</v>
      </c>
      <c r="H65" s="17">
        <f t="shared" si="0"/>
        <v>14.25</v>
      </c>
    </row>
    <row r="66" spans="1:8" x14ac:dyDescent="0.25">
      <c r="A66" s="1" t="s">
        <v>3</v>
      </c>
      <c r="B66" s="1">
        <v>20106684</v>
      </c>
      <c r="C66" s="1" t="s">
        <v>57</v>
      </c>
      <c r="D66">
        <v>5</v>
      </c>
      <c r="E66">
        <v>5</v>
      </c>
      <c r="F66">
        <v>5</v>
      </c>
      <c r="G66">
        <v>5</v>
      </c>
      <c r="H66" s="17">
        <f t="shared" si="0"/>
        <v>15</v>
      </c>
    </row>
    <row r="67" spans="1:8" x14ac:dyDescent="0.25">
      <c r="A67" s="1" t="s">
        <v>3</v>
      </c>
      <c r="B67" s="1">
        <v>20100119</v>
      </c>
      <c r="C67" s="1" t="s">
        <v>50</v>
      </c>
      <c r="D67">
        <v>4</v>
      </c>
      <c r="E67">
        <v>5</v>
      </c>
      <c r="F67">
        <v>5</v>
      </c>
      <c r="G67">
        <v>5</v>
      </c>
      <c r="H67" s="17">
        <f t="shared" ref="H67" si="1">(SUM(D67:G67))/20*15</f>
        <v>14.25</v>
      </c>
    </row>
    <row r="69" spans="1:8" x14ac:dyDescent="0.25">
      <c r="G69" s="16" t="s">
        <v>82</v>
      </c>
      <c r="H69" s="17">
        <f>MIN(H2:H67)</f>
        <v>6.75</v>
      </c>
    </row>
    <row r="70" spans="1:8" x14ac:dyDescent="0.25">
      <c r="G70" s="16" t="s">
        <v>83</v>
      </c>
      <c r="H70" s="17">
        <f>MAX(H2:H67)</f>
        <v>15</v>
      </c>
    </row>
    <row r="71" spans="1:8" x14ac:dyDescent="0.25">
      <c r="G71" s="16" t="s">
        <v>80</v>
      </c>
      <c r="H71" s="17">
        <f>AVERAGE(H2:H67)</f>
        <v>12.948295454545455</v>
      </c>
    </row>
    <row r="72" spans="1:8" x14ac:dyDescent="0.25">
      <c r="G72" s="16" t="s">
        <v>81</v>
      </c>
      <c r="H72" s="17">
        <f>STDEV(H2:H67)</f>
        <v>2.0388497020421483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72"/>
  <sheetViews>
    <sheetView workbookViewId="0">
      <selection activeCell="B1" sqref="B1:B1048576"/>
    </sheetView>
  </sheetViews>
  <sheetFormatPr defaultRowHeight="15" x14ac:dyDescent="0.25"/>
  <cols>
    <col min="1" max="1" width="16" style="1" bestFit="1" customWidth="1"/>
    <col min="2" max="2" width="9" style="6" bestFit="1" customWidth="1"/>
    <col min="3" max="3" width="27.85546875" style="1" bestFit="1" customWidth="1"/>
    <col min="4" max="4" width="17.7109375" bestFit="1" customWidth="1"/>
    <col min="5" max="5" width="18.85546875" bestFit="1" customWidth="1"/>
  </cols>
  <sheetData>
    <row r="1" spans="1:5" x14ac:dyDescent="0.25">
      <c r="A1" s="2" t="s">
        <v>0</v>
      </c>
      <c r="B1" s="3" t="s">
        <v>1</v>
      </c>
      <c r="C1" s="2" t="s">
        <v>2</v>
      </c>
      <c r="D1" s="16" t="s">
        <v>75</v>
      </c>
      <c r="E1" s="16" t="s">
        <v>79</v>
      </c>
    </row>
    <row r="2" spans="1:5" x14ac:dyDescent="0.25">
      <c r="A2" s="1" t="s">
        <v>3</v>
      </c>
      <c r="B2" s="1">
        <v>20100220</v>
      </c>
      <c r="C2" s="15" t="s">
        <v>21</v>
      </c>
      <c r="D2">
        <v>19</v>
      </c>
      <c r="E2">
        <f>D2/25*35</f>
        <v>26.6</v>
      </c>
    </row>
    <row r="3" spans="1:5" x14ac:dyDescent="0.25">
      <c r="A3" s="1" t="s">
        <v>3</v>
      </c>
      <c r="B3" s="1">
        <v>20100321</v>
      </c>
      <c r="C3" s="1" t="s">
        <v>55</v>
      </c>
      <c r="D3">
        <v>21</v>
      </c>
      <c r="E3">
        <f t="shared" ref="E3:E66" si="0">D3/25*35</f>
        <v>29.4</v>
      </c>
    </row>
    <row r="4" spans="1:5" x14ac:dyDescent="0.25">
      <c r="A4" s="1" t="s">
        <v>3</v>
      </c>
      <c r="B4" s="1">
        <v>20100422</v>
      </c>
      <c r="C4" s="1" t="s">
        <v>31</v>
      </c>
      <c r="D4">
        <v>20</v>
      </c>
      <c r="E4">
        <f t="shared" si="0"/>
        <v>28</v>
      </c>
    </row>
    <row r="5" spans="1:5" x14ac:dyDescent="0.25">
      <c r="A5" s="1" t="s">
        <v>3</v>
      </c>
      <c r="B5" s="1">
        <v>20100523</v>
      </c>
      <c r="C5" s="1" t="s">
        <v>65</v>
      </c>
      <c r="D5">
        <v>21</v>
      </c>
      <c r="E5">
        <f t="shared" si="0"/>
        <v>29.4</v>
      </c>
    </row>
    <row r="6" spans="1:5" x14ac:dyDescent="0.25">
      <c r="A6" s="1" t="s">
        <v>3</v>
      </c>
      <c r="B6" s="1">
        <v>20100624</v>
      </c>
      <c r="C6" s="1" t="s">
        <v>47</v>
      </c>
      <c r="D6">
        <v>24</v>
      </c>
      <c r="E6">
        <f t="shared" si="0"/>
        <v>33.6</v>
      </c>
    </row>
    <row r="7" spans="1:5" x14ac:dyDescent="0.25">
      <c r="A7" s="1" t="s">
        <v>3</v>
      </c>
      <c r="B7" s="1">
        <v>20100725</v>
      </c>
      <c r="C7" s="14" t="s">
        <v>12</v>
      </c>
      <c r="D7">
        <v>23</v>
      </c>
      <c r="E7">
        <f t="shared" si="0"/>
        <v>32.200000000000003</v>
      </c>
    </row>
    <row r="8" spans="1:5" x14ac:dyDescent="0.25">
      <c r="A8" s="1" t="s">
        <v>3</v>
      </c>
      <c r="B8" s="1">
        <v>20100826</v>
      </c>
      <c r="C8" s="1" t="s">
        <v>66</v>
      </c>
      <c r="D8">
        <v>23</v>
      </c>
      <c r="E8">
        <f t="shared" si="0"/>
        <v>32.200000000000003</v>
      </c>
    </row>
    <row r="9" spans="1:5" x14ac:dyDescent="0.25">
      <c r="A9" s="1" t="s">
        <v>3</v>
      </c>
      <c r="B9" s="1">
        <v>20100927</v>
      </c>
      <c r="C9" s="1" t="s">
        <v>64</v>
      </c>
      <c r="D9">
        <v>19</v>
      </c>
      <c r="E9">
        <f t="shared" si="0"/>
        <v>26.6</v>
      </c>
    </row>
    <row r="10" spans="1:5" x14ac:dyDescent="0.25">
      <c r="A10" s="1" t="s">
        <v>3</v>
      </c>
      <c r="B10" s="1">
        <v>20101028</v>
      </c>
      <c r="C10" s="1" t="s">
        <v>48</v>
      </c>
      <c r="D10">
        <v>19</v>
      </c>
      <c r="E10">
        <f t="shared" si="0"/>
        <v>26.6</v>
      </c>
    </row>
    <row r="11" spans="1:5" x14ac:dyDescent="0.25">
      <c r="A11" s="1" t="s">
        <v>3</v>
      </c>
      <c r="B11" s="1">
        <v>20101129</v>
      </c>
      <c r="C11" s="1" t="s">
        <v>60</v>
      </c>
      <c r="D11">
        <v>21</v>
      </c>
      <c r="E11">
        <f t="shared" si="0"/>
        <v>29.4</v>
      </c>
    </row>
    <row r="12" spans="1:5" x14ac:dyDescent="0.25">
      <c r="A12" s="1" t="s">
        <v>3</v>
      </c>
      <c r="B12" s="1">
        <v>20101230</v>
      </c>
      <c r="C12" s="1" t="s">
        <v>58</v>
      </c>
      <c r="D12">
        <v>21</v>
      </c>
      <c r="E12">
        <f t="shared" si="0"/>
        <v>29.4</v>
      </c>
    </row>
    <row r="13" spans="1:5" x14ac:dyDescent="0.25">
      <c r="A13" s="1" t="s">
        <v>3</v>
      </c>
      <c r="B13" s="1">
        <v>20101331</v>
      </c>
      <c r="C13" s="1" t="s">
        <v>46</v>
      </c>
      <c r="D13">
        <v>20</v>
      </c>
      <c r="E13">
        <f t="shared" si="0"/>
        <v>28</v>
      </c>
    </row>
    <row r="14" spans="1:5" x14ac:dyDescent="0.25">
      <c r="A14" s="1" t="s">
        <v>3</v>
      </c>
      <c r="B14" s="1">
        <v>20101432</v>
      </c>
      <c r="C14" s="14" t="s">
        <v>13</v>
      </c>
      <c r="D14">
        <v>19</v>
      </c>
      <c r="E14">
        <f t="shared" si="0"/>
        <v>26.6</v>
      </c>
    </row>
    <row r="15" spans="1:5" x14ac:dyDescent="0.25">
      <c r="A15" s="1" t="s">
        <v>3</v>
      </c>
      <c r="B15" s="1">
        <v>20101533</v>
      </c>
      <c r="C15" s="1" t="s">
        <v>69</v>
      </c>
      <c r="D15">
        <v>25</v>
      </c>
      <c r="E15">
        <f t="shared" si="0"/>
        <v>35</v>
      </c>
    </row>
    <row r="16" spans="1:5" x14ac:dyDescent="0.25">
      <c r="A16" s="1" t="s">
        <v>3</v>
      </c>
      <c r="B16" s="1">
        <v>20101634</v>
      </c>
      <c r="C16" s="1" t="s">
        <v>25</v>
      </c>
      <c r="D16">
        <v>12</v>
      </c>
      <c r="E16">
        <f t="shared" si="0"/>
        <v>16.8</v>
      </c>
    </row>
    <row r="17" spans="1:5" x14ac:dyDescent="0.25">
      <c r="A17" s="1" t="s">
        <v>3</v>
      </c>
      <c r="B17" s="1">
        <v>20101735</v>
      </c>
      <c r="C17" s="1" t="s">
        <v>67</v>
      </c>
      <c r="D17">
        <v>16</v>
      </c>
      <c r="E17">
        <f t="shared" si="0"/>
        <v>22.400000000000002</v>
      </c>
    </row>
    <row r="18" spans="1:5" x14ac:dyDescent="0.25">
      <c r="A18" s="1" t="s">
        <v>3</v>
      </c>
      <c r="B18" s="1">
        <v>20101836</v>
      </c>
      <c r="C18" s="1" t="s">
        <v>62</v>
      </c>
      <c r="D18">
        <v>20</v>
      </c>
      <c r="E18">
        <f t="shared" si="0"/>
        <v>28</v>
      </c>
    </row>
    <row r="19" spans="1:5" x14ac:dyDescent="0.25">
      <c r="A19" s="1" t="s">
        <v>3</v>
      </c>
      <c r="B19" s="1">
        <v>20101937</v>
      </c>
      <c r="C19" s="1" t="s">
        <v>24</v>
      </c>
      <c r="D19">
        <v>18</v>
      </c>
      <c r="E19">
        <f t="shared" si="0"/>
        <v>25.2</v>
      </c>
    </row>
    <row r="20" spans="1:5" x14ac:dyDescent="0.25">
      <c r="A20" s="1" t="s">
        <v>3</v>
      </c>
      <c r="B20" s="1">
        <v>20102038</v>
      </c>
      <c r="C20" s="1" t="s">
        <v>63</v>
      </c>
      <c r="D20">
        <v>18</v>
      </c>
      <c r="E20">
        <f t="shared" si="0"/>
        <v>25.2</v>
      </c>
    </row>
    <row r="21" spans="1:5" x14ac:dyDescent="0.25">
      <c r="A21" s="1" t="s">
        <v>3</v>
      </c>
      <c r="B21" s="1">
        <v>20102139</v>
      </c>
      <c r="C21" s="15" t="s">
        <v>4</v>
      </c>
      <c r="D21">
        <v>18</v>
      </c>
      <c r="E21">
        <f t="shared" si="0"/>
        <v>25.2</v>
      </c>
    </row>
    <row r="22" spans="1:5" x14ac:dyDescent="0.25">
      <c r="A22" s="1" t="s">
        <v>3</v>
      </c>
      <c r="B22" s="1">
        <v>20102240</v>
      </c>
      <c r="C22" s="14" t="s">
        <v>11</v>
      </c>
      <c r="D22">
        <v>17</v>
      </c>
      <c r="E22">
        <f t="shared" si="0"/>
        <v>23.8</v>
      </c>
    </row>
    <row r="23" spans="1:5" x14ac:dyDescent="0.25">
      <c r="A23" s="1" t="s">
        <v>3</v>
      </c>
      <c r="B23" s="1">
        <v>20102341</v>
      </c>
      <c r="C23" s="14" t="s">
        <v>17</v>
      </c>
      <c r="D23">
        <v>19</v>
      </c>
      <c r="E23">
        <f t="shared" si="0"/>
        <v>26.6</v>
      </c>
    </row>
    <row r="24" spans="1:5" x14ac:dyDescent="0.25">
      <c r="A24" s="1" t="s">
        <v>3</v>
      </c>
      <c r="B24" s="1">
        <v>20102442</v>
      </c>
      <c r="C24" s="1" t="s">
        <v>44</v>
      </c>
      <c r="D24">
        <v>21</v>
      </c>
      <c r="E24">
        <f t="shared" si="0"/>
        <v>29.4</v>
      </c>
    </row>
    <row r="25" spans="1:5" x14ac:dyDescent="0.25">
      <c r="A25" s="1" t="s">
        <v>3</v>
      </c>
      <c r="B25" s="1">
        <v>20102543</v>
      </c>
      <c r="C25" s="1" t="s">
        <v>51</v>
      </c>
      <c r="D25">
        <v>22</v>
      </c>
      <c r="E25">
        <f t="shared" si="0"/>
        <v>30.8</v>
      </c>
    </row>
    <row r="26" spans="1:5" x14ac:dyDescent="0.25">
      <c r="A26" s="1" t="s">
        <v>3</v>
      </c>
      <c r="B26" s="1">
        <v>20102644</v>
      </c>
      <c r="C26" s="14" t="s">
        <v>18</v>
      </c>
      <c r="D26">
        <v>23</v>
      </c>
      <c r="E26">
        <f t="shared" si="0"/>
        <v>32.200000000000003</v>
      </c>
    </row>
    <row r="27" spans="1:5" x14ac:dyDescent="0.25">
      <c r="A27" s="1" t="s">
        <v>3</v>
      </c>
      <c r="B27" s="1">
        <v>20102745</v>
      </c>
      <c r="C27" s="14" t="s">
        <v>15</v>
      </c>
      <c r="D27">
        <v>25</v>
      </c>
      <c r="E27">
        <f t="shared" si="0"/>
        <v>35</v>
      </c>
    </row>
    <row r="28" spans="1:5" x14ac:dyDescent="0.25">
      <c r="A28" s="1" t="s">
        <v>3</v>
      </c>
      <c r="B28" s="1">
        <v>20102846</v>
      </c>
      <c r="C28" s="1" t="s">
        <v>33</v>
      </c>
      <c r="D28">
        <v>21</v>
      </c>
      <c r="E28">
        <f t="shared" si="0"/>
        <v>29.4</v>
      </c>
    </row>
    <row r="29" spans="1:5" x14ac:dyDescent="0.25">
      <c r="A29" s="1" t="s">
        <v>3</v>
      </c>
      <c r="B29" s="1">
        <v>20102947</v>
      </c>
      <c r="C29" s="14" t="s">
        <v>16</v>
      </c>
      <c r="D29">
        <v>22</v>
      </c>
      <c r="E29">
        <f t="shared" si="0"/>
        <v>30.8</v>
      </c>
    </row>
    <row r="30" spans="1:5" x14ac:dyDescent="0.25">
      <c r="A30" s="1" t="s">
        <v>3</v>
      </c>
      <c r="B30" s="1">
        <v>20103048</v>
      </c>
      <c r="C30" s="1" t="s">
        <v>26</v>
      </c>
      <c r="D30">
        <v>17</v>
      </c>
      <c r="E30">
        <f t="shared" si="0"/>
        <v>23.8</v>
      </c>
    </row>
    <row r="31" spans="1:5" x14ac:dyDescent="0.25">
      <c r="A31" s="1" t="s">
        <v>3</v>
      </c>
      <c r="B31" s="1">
        <v>20103149</v>
      </c>
      <c r="C31" s="1" t="s">
        <v>37</v>
      </c>
      <c r="D31">
        <v>20</v>
      </c>
      <c r="E31">
        <f t="shared" si="0"/>
        <v>28</v>
      </c>
    </row>
    <row r="32" spans="1:5" x14ac:dyDescent="0.25">
      <c r="A32" s="1" t="s">
        <v>3</v>
      </c>
      <c r="B32" s="1">
        <v>20103250</v>
      </c>
      <c r="C32" s="1" t="s">
        <v>27</v>
      </c>
      <c r="D32">
        <v>22</v>
      </c>
      <c r="E32">
        <f t="shared" si="0"/>
        <v>30.8</v>
      </c>
    </row>
    <row r="33" spans="1:5" x14ac:dyDescent="0.25">
      <c r="A33" s="1" t="s">
        <v>3</v>
      </c>
      <c r="B33" s="1">
        <v>20103351</v>
      </c>
      <c r="C33" s="1" t="s">
        <v>30</v>
      </c>
      <c r="D33">
        <v>24</v>
      </c>
      <c r="E33">
        <f t="shared" si="0"/>
        <v>33.6</v>
      </c>
    </row>
    <row r="34" spans="1:5" x14ac:dyDescent="0.25">
      <c r="A34" s="1" t="s">
        <v>3</v>
      </c>
      <c r="B34" s="1">
        <v>20103452</v>
      </c>
      <c r="C34" s="14" t="s">
        <v>6</v>
      </c>
      <c r="D34">
        <v>22</v>
      </c>
      <c r="E34">
        <f t="shared" si="0"/>
        <v>30.8</v>
      </c>
    </row>
    <row r="35" spans="1:5" x14ac:dyDescent="0.25">
      <c r="A35" s="1" t="s">
        <v>3</v>
      </c>
      <c r="B35" s="1">
        <v>20103553</v>
      </c>
      <c r="C35" s="1" t="s">
        <v>28</v>
      </c>
      <c r="D35">
        <v>14</v>
      </c>
      <c r="E35">
        <f t="shared" si="0"/>
        <v>19.600000000000001</v>
      </c>
    </row>
    <row r="36" spans="1:5" x14ac:dyDescent="0.25">
      <c r="A36" s="1" t="s">
        <v>3</v>
      </c>
      <c r="B36" s="1">
        <v>20103654</v>
      </c>
      <c r="C36" s="1" t="s">
        <v>53</v>
      </c>
      <c r="D36">
        <v>18</v>
      </c>
      <c r="E36">
        <f t="shared" si="0"/>
        <v>25.2</v>
      </c>
    </row>
    <row r="37" spans="1:5" x14ac:dyDescent="0.25">
      <c r="A37" s="1" t="s">
        <v>3</v>
      </c>
      <c r="B37" s="1">
        <v>20103755</v>
      </c>
      <c r="C37" s="1" t="s">
        <v>38</v>
      </c>
      <c r="D37">
        <v>15</v>
      </c>
      <c r="E37">
        <f t="shared" si="0"/>
        <v>21</v>
      </c>
    </row>
    <row r="38" spans="1:5" x14ac:dyDescent="0.25">
      <c r="A38" s="1" t="s">
        <v>3</v>
      </c>
      <c r="B38" s="1">
        <v>20103856</v>
      </c>
      <c r="C38" s="1" t="s">
        <v>59</v>
      </c>
      <c r="D38">
        <v>20</v>
      </c>
      <c r="E38">
        <f t="shared" si="0"/>
        <v>28</v>
      </c>
    </row>
    <row r="39" spans="1:5" x14ac:dyDescent="0.25">
      <c r="A39" s="1" t="s">
        <v>3</v>
      </c>
      <c r="B39" s="1">
        <v>20103957</v>
      </c>
      <c r="C39" s="1" t="s">
        <v>35</v>
      </c>
      <c r="D39">
        <v>15</v>
      </c>
      <c r="E39">
        <f t="shared" si="0"/>
        <v>21</v>
      </c>
    </row>
    <row r="40" spans="1:5" x14ac:dyDescent="0.25">
      <c r="A40" s="1" t="s">
        <v>3</v>
      </c>
      <c r="B40" s="1">
        <v>20104058</v>
      </c>
      <c r="C40" s="15" t="s">
        <v>22</v>
      </c>
      <c r="D40">
        <v>21</v>
      </c>
      <c r="E40">
        <f t="shared" si="0"/>
        <v>29.4</v>
      </c>
    </row>
    <row r="41" spans="1:5" x14ac:dyDescent="0.25">
      <c r="A41" s="1" t="s">
        <v>3</v>
      </c>
      <c r="B41" s="1">
        <v>20104159</v>
      </c>
      <c r="C41" s="1" t="s">
        <v>29</v>
      </c>
      <c r="D41">
        <v>24</v>
      </c>
      <c r="E41">
        <f t="shared" si="0"/>
        <v>33.6</v>
      </c>
    </row>
    <row r="42" spans="1:5" x14ac:dyDescent="0.25">
      <c r="A42" s="1" t="s">
        <v>3</v>
      </c>
      <c r="B42" s="1">
        <v>20104260</v>
      </c>
      <c r="C42" s="1" t="s">
        <v>56</v>
      </c>
      <c r="D42">
        <v>22</v>
      </c>
      <c r="E42">
        <f t="shared" si="0"/>
        <v>30.8</v>
      </c>
    </row>
    <row r="43" spans="1:5" x14ac:dyDescent="0.25">
      <c r="A43" s="1" t="s">
        <v>3</v>
      </c>
      <c r="B43" s="1">
        <v>20104361</v>
      </c>
      <c r="C43" s="1" t="s">
        <v>49</v>
      </c>
      <c r="D43">
        <v>25</v>
      </c>
      <c r="E43">
        <f t="shared" si="0"/>
        <v>35</v>
      </c>
    </row>
    <row r="44" spans="1:5" x14ac:dyDescent="0.25">
      <c r="A44" s="1" t="s">
        <v>3</v>
      </c>
      <c r="B44" s="1">
        <v>20104462</v>
      </c>
      <c r="C44" s="1" t="s">
        <v>45</v>
      </c>
      <c r="D44">
        <v>21</v>
      </c>
      <c r="E44">
        <f t="shared" si="0"/>
        <v>29.4</v>
      </c>
    </row>
    <row r="45" spans="1:5" x14ac:dyDescent="0.25">
      <c r="A45" s="1" t="s">
        <v>3</v>
      </c>
      <c r="B45" s="1">
        <v>20104563</v>
      </c>
      <c r="C45" s="14" t="s">
        <v>10</v>
      </c>
      <c r="D45">
        <v>19</v>
      </c>
      <c r="E45">
        <f t="shared" si="0"/>
        <v>26.6</v>
      </c>
    </row>
    <row r="46" spans="1:5" x14ac:dyDescent="0.25">
      <c r="A46" s="1" t="s">
        <v>3</v>
      </c>
      <c r="B46" s="1">
        <v>20104664</v>
      </c>
      <c r="C46" s="1" t="s">
        <v>34</v>
      </c>
      <c r="D46">
        <v>15</v>
      </c>
      <c r="E46">
        <f t="shared" si="0"/>
        <v>21</v>
      </c>
    </row>
    <row r="47" spans="1:5" x14ac:dyDescent="0.25">
      <c r="A47" s="1" t="s">
        <v>3</v>
      </c>
      <c r="B47" s="1">
        <v>20104765</v>
      </c>
      <c r="C47" s="14" t="s">
        <v>19</v>
      </c>
      <c r="D47">
        <v>21</v>
      </c>
      <c r="E47">
        <f t="shared" si="0"/>
        <v>29.4</v>
      </c>
    </row>
    <row r="48" spans="1:5" x14ac:dyDescent="0.25">
      <c r="A48" s="1" t="s">
        <v>3</v>
      </c>
      <c r="B48" s="1">
        <v>20104866</v>
      </c>
      <c r="C48" s="1" t="s">
        <v>23</v>
      </c>
      <c r="D48">
        <v>19</v>
      </c>
      <c r="E48">
        <f t="shared" si="0"/>
        <v>26.6</v>
      </c>
    </row>
    <row r="49" spans="1:5" x14ac:dyDescent="0.25">
      <c r="A49" s="1" t="s">
        <v>3</v>
      </c>
      <c r="B49" s="1">
        <v>20104967</v>
      </c>
      <c r="C49" s="14" t="s">
        <v>20</v>
      </c>
      <c r="D49">
        <v>19</v>
      </c>
      <c r="E49">
        <f t="shared" si="0"/>
        <v>26.6</v>
      </c>
    </row>
    <row r="50" spans="1:5" x14ac:dyDescent="0.25">
      <c r="A50" s="1" t="s">
        <v>3</v>
      </c>
      <c r="B50" s="1">
        <v>20105068</v>
      </c>
      <c r="C50" s="1" t="s">
        <v>32</v>
      </c>
      <c r="D50">
        <v>22</v>
      </c>
      <c r="E50">
        <f t="shared" si="0"/>
        <v>30.8</v>
      </c>
    </row>
    <row r="51" spans="1:5" x14ac:dyDescent="0.25">
      <c r="A51" s="1" t="s">
        <v>3</v>
      </c>
      <c r="B51" s="1">
        <v>20105169</v>
      </c>
      <c r="C51" s="1" t="s">
        <v>40</v>
      </c>
      <c r="D51">
        <v>21</v>
      </c>
      <c r="E51">
        <f t="shared" si="0"/>
        <v>29.4</v>
      </c>
    </row>
    <row r="52" spans="1:5" x14ac:dyDescent="0.25">
      <c r="A52" s="1" t="s">
        <v>3</v>
      </c>
      <c r="B52" s="1">
        <v>20105270</v>
      </c>
      <c r="C52" s="1" t="s">
        <v>52</v>
      </c>
      <c r="D52">
        <v>20</v>
      </c>
      <c r="E52">
        <f t="shared" si="0"/>
        <v>28</v>
      </c>
    </row>
    <row r="53" spans="1:5" x14ac:dyDescent="0.25">
      <c r="A53" s="1" t="s">
        <v>3</v>
      </c>
      <c r="B53" s="1">
        <v>20105371</v>
      </c>
      <c r="C53" s="1" t="s">
        <v>61</v>
      </c>
      <c r="D53">
        <v>19</v>
      </c>
      <c r="E53">
        <f t="shared" si="0"/>
        <v>26.6</v>
      </c>
    </row>
    <row r="54" spans="1:5" x14ac:dyDescent="0.25">
      <c r="A54" s="1" t="s">
        <v>3</v>
      </c>
      <c r="B54" s="1">
        <v>20105472</v>
      </c>
      <c r="C54" s="14" t="s">
        <v>7</v>
      </c>
      <c r="D54">
        <v>17</v>
      </c>
      <c r="E54">
        <f t="shared" si="0"/>
        <v>23.8</v>
      </c>
    </row>
    <row r="55" spans="1:5" x14ac:dyDescent="0.25">
      <c r="A55" s="1" t="s">
        <v>3</v>
      </c>
      <c r="B55" s="1">
        <v>20105573</v>
      </c>
      <c r="C55" s="1" t="s">
        <v>68</v>
      </c>
      <c r="D55">
        <v>17</v>
      </c>
      <c r="E55">
        <f t="shared" si="0"/>
        <v>23.8</v>
      </c>
    </row>
    <row r="56" spans="1:5" x14ac:dyDescent="0.25">
      <c r="A56" s="1" t="s">
        <v>3</v>
      </c>
      <c r="B56" s="1">
        <v>20105674</v>
      </c>
      <c r="C56" s="14" t="s">
        <v>14</v>
      </c>
      <c r="D56">
        <v>22</v>
      </c>
      <c r="E56">
        <f t="shared" si="0"/>
        <v>30.8</v>
      </c>
    </row>
    <row r="57" spans="1:5" x14ac:dyDescent="0.25">
      <c r="A57" s="1" t="s">
        <v>3</v>
      </c>
      <c r="B57" s="1">
        <v>20105775</v>
      </c>
      <c r="C57" s="1" t="s">
        <v>41</v>
      </c>
      <c r="D57">
        <v>22</v>
      </c>
      <c r="E57">
        <f t="shared" si="0"/>
        <v>30.8</v>
      </c>
    </row>
    <row r="58" spans="1:5" x14ac:dyDescent="0.25">
      <c r="A58" s="1" t="s">
        <v>3</v>
      </c>
      <c r="B58" s="1">
        <v>20105876</v>
      </c>
      <c r="C58" s="1" t="s">
        <v>42</v>
      </c>
      <c r="D58">
        <v>24</v>
      </c>
      <c r="E58">
        <f t="shared" si="0"/>
        <v>33.6</v>
      </c>
    </row>
    <row r="59" spans="1:5" x14ac:dyDescent="0.25">
      <c r="A59" s="1" t="s">
        <v>3</v>
      </c>
      <c r="B59" s="1">
        <v>20105977</v>
      </c>
      <c r="C59" s="14" t="s">
        <v>9</v>
      </c>
      <c r="D59">
        <v>22</v>
      </c>
      <c r="E59">
        <f t="shared" si="0"/>
        <v>30.8</v>
      </c>
    </row>
    <row r="60" spans="1:5" x14ac:dyDescent="0.25">
      <c r="A60" s="1" t="s">
        <v>3</v>
      </c>
      <c r="B60" s="1">
        <v>20106078</v>
      </c>
      <c r="C60" s="1" t="s">
        <v>39</v>
      </c>
      <c r="D60">
        <v>15</v>
      </c>
      <c r="E60">
        <f t="shared" si="0"/>
        <v>21</v>
      </c>
    </row>
    <row r="61" spans="1:5" x14ac:dyDescent="0.25">
      <c r="A61" s="1" t="s">
        <v>3</v>
      </c>
      <c r="B61" s="1">
        <v>20106179</v>
      </c>
      <c r="C61" s="1" t="s">
        <v>36</v>
      </c>
      <c r="D61">
        <v>15</v>
      </c>
      <c r="E61">
        <f t="shared" si="0"/>
        <v>21</v>
      </c>
    </row>
    <row r="62" spans="1:5" x14ac:dyDescent="0.25">
      <c r="A62" s="1" t="s">
        <v>3</v>
      </c>
      <c r="B62" s="1">
        <v>20106280</v>
      </c>
      <c r="C62" s="14" t="s">
        <v>5</v>
      </c>
      <c r="D62">
        <v>24</v>
      </c>
      <c r="E62">
        <f t="shared" si="0"/>
        <v>33.6</v>
      </c>
    </row>
    <row r="63" spans="1:5" x14ac:dyDescent="0.25">
      <c r="A63" s="1" t="s">
        <v>3</v>
      </c>
      <c r="B63" s="1">
        <v>20106381</v>
      </c>
      <c r="C63" s="1" t="s">
        <v>43</v>
      </c>
      <c r="D63">
        <v>24</v>
      </c>
      <c r="E63">
        <f t="shared" si="0"/>
        <v>33.6</v>
      </c>
    </row>
    <row r="64" spans="1:5" x14ac:dyDescent="0.25">
      <c r="A64" s="1" t="s">
        <v>3</v>
      </c>
      <c r="B64" s="1">
        <v>20106482</v>
      </c>
      <c r="C64" s="1" t="s">
        <v>54</v>
      </c>
      <c r="D64">
        <v>21</v>
      </c>
      <c r="E64">
        <f t="shared" si="0"/>
        <v>29.4</v>
      </c>
    </row>
    <row r="65" spans="1:5" x14ac:dyDescent="0.25">
      <c r="A65" s="1" t="s">
        <v>3</v>
      </c>
      <c r="B65" s="1">
        <v>20106583</v>
      </c>
      <c r="C65" s="14" t="s">
        <v>8</v>
      </c>
      <c r="D65">
        <v>21</v>
      </c>
      <c r="E65">
        <f t="shared" si="0"/>
        <v>29.4</v>
      </c>
    </row>
    <row r="66" spans="1:5" x14ac:dyDescent="0.25">
      <c r="A66" s="1" t="s">
        <v>3</v>
      </c>
      <c r="B66" s="1">
        <v>20106684</v>
      </c>
      <c r="C66" s="1" t="s">
        <v>57</v>
      </c>
      <c r="D66">
        <v>23</v>
      </c>
      <c r="E66">
        <f t="shared" si="0"/>
        <v>32.200000000000003</v>
      </c>
    </row>
    <row r="67" spans="1:5" x14ac:dyDescent="0.25">
      <c r="A67" s="1" t="s">
        <v>3</v>
      </c>
      <c r="B67" s="1">
        <v>20100119</v>
      </c>
      <c r="C67" s="1" t="s">
        <v>50</v>
      </c>
      <c r="D67">
        <v>19</v>
      </c>
      <c r="E67">
        <f t="shared" ref="E67" si="1">D67/25*35</f>
        <v>26.6</v>
      </c>
    </row>
    <row r="69" spans="1:5" x14ac:dyDescent="0.25">
      <c r="D69" s="16" t="s">
        <v>82</v>
      </c>
      <c r="E69" s="17">
        <f>MIN(E2:E67)</f>
        <v>16.8</v>
      </c>
    </row>
    <row r="70" spans="1:5" x14ac:dyDescent="0.25">
      <c r="D70" s="16" t="s">
        <v>83</v>
      </c>
      <c r="E70" s="17">
        <f>MAX(E2:E67)</f>
        <v>35</v>
      </c>
    </row>
    <row r="71" spans="1:5" x14ac:dyDescent="0.25">
      <c r="D71" s="16" t="s">
        <v>80</v>
      </c>
      <c r="E71" s="17">
        <f>AVERAGE(E2:E67)</f>
        <v>28.169696969696961</v>
      </c>
    </row>
    <row r="72" spans="1:5" x14ac:dyDescent="0.25">
      <c r="D72" s="16" t="s">
        <v>81</v>
      </c>
      <c r="E72" s="17">
        <f>STDEV(E2:E67)</f>
        <v>4.0983662672589949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E72"/>
  <sheetViews>
    <sheetView workbookViewId="0">
      <selection activeCell="C7" sqref="C7"/>
    </sheetView>
  </sheetViews>
  <sheetFormatPr defaultRowHeight="15" x14ac:dyDescent="0.25"/>
  <cols>
    <col min="1" max="1" width="16" style="1" bestFit="1" customWidth="1"/>
    <col min="2" max="2" width="9" style="6" bestFit="1" customWidth="1"/>
    <col min="3" max="3" width="27.85546875" style="1" bestFit="1" customWidth="1"/>
    <col min="4" max="4" width="9.42578125" bestFit="1" customWidth="1"/>
    <col min="5" max="5" width="10.42578125" bestFit="1" customWidth="1"/>
  </cols>
  <sheetData>
    <row r="1" spans="1:5" s="16" customFormat="1" x14ac:dyDescent="0.25">
      <c r="A1" s="2" t="s">
        <v>0</v>
      </c>
      <c r="B1" s="3" t="s">
        <v>1</v>
      </c>
      <c r="C1" s="2" t="s">
        <v>2</v>
      </c>
      <c r="D1" s="16" t="s">
        <v>74</v>
      </c>
      <c r="E1" s="16" t="s">
        <v>86</v>
      </c>
    </row>
    <row r="2" spans="1:5" x14ac:dyDescent="0.25">
      <c r="A2" s="1" t="s">
        <v>3</v>
      </c>
      <c r="B2" s="1">
        <v>20100220</v>
      </c>
      <c r="C2" s="15" t="s">
        <v>21</v>
      </c>
      <c r="D2">
        <v>83</v>
      </c>
      <c r="E2">
        <f>D2/100*40</f>
        <v>33.199999999999996</v>
      </c>
    </row>
    <row r="3" spans="1:5" x14ac:dyDescent="0.25">
      <c r="A3" s="1" t="s">
        <v>3</v>
      </c>
      <c r="B3" s="1">
        <v>20100321</v>
      </c>
      <c r="C3" s="1" t="s">
        <v>55</v>
      </c>
      <c r="D3">
        <v>85.5</v>
      </c>
      <c r="E3">
        <f t="shared" ref="E3:E66" si="0">D3/100*40</f>
        <v>34.200000000000003</v>
      </c>
    </row>
    <row r="4" spans="1:5" x14ac:dyDescent="0.25">
      <c r="A4" s="1" t="s">
        <v>3</v>
      </c>
      <c r="B4" s="1">
        <v>20100422</v>
      </c>
      <c r="C4" s="1" t="s">
        <v>31</v>
      </c>
      <c r="D4">
        <v>67</v>
      </c>
      <c r="E4">
        <f t="shared" si="0"/>
        <v>26.8</v>
      </c>
    </row>
    <row r="5" spans="1:5" x14ac:dyDescent="0.25">
      <c r="A5" s="1" t="s">
        <v>3</v>
      </c>
      <c r="B5" s="1">
        <v>20100523</v>
      </c>
      <c r="C5" s="1" t="s">
        <v>65</v>
      </c>
      <c r="D5">
        <v>90</v>
      </c>
      <c r="E5">
        <f t="shared" si="0"/>
        <v>36</v>
      </c>
    </row>
    <row r="6" spans="1:5" x14ac:dyDescent="0.25">
      <c r="A6" s="1" t="s">
        <v>3</v>
      </c>
      <c r="B6" s="1">
        <v>20100624</v>
      </c>
      <c r="C6" s="1" t="s">
        <v>47</v>
      </c>
      <c r="D6">
        <v>90.5</v>
      </c>
      <c r="E6">
        <f t="shared" si="0"/>
        <v>36.200000000000003</v>
      </c>
    </row>
    <row r="7" spans="1:5" x14ac:dyDescent="0.25">
      <c r="A7" s="1" t="s">
        <v>3</v>
      </c>
      <c r="B7" s="1">
        <v>20100725</v>
      </c>
      <c r="C7" s="14" t="s">
        <v>12</v>
      </c>
      <c r="D7">
        <v>89.5</v>
      </c>
      <c r="E7">
        <f t="shared" si="0"/>
        <v>35.799999999999997</v>
      </c>
    </row>
    <row r="8" spans="1:5" x14ac:dyDescent="0.25">
      <c r="A8" s="1" t="s">
        <v>3</v>
      </c>
      <c r="B8" s="1">
        <v>20100826</v>
      </c>
      <c r="C8" s="1" t="s">
        <v>66</v>
      </c>
      <c r="D8">
        <v>93</v>
      </c>
      <c r="E8">
        <f t="shared" si="0"/>
        <v>37.200000000000003</v>
      </c>
    </row>
    <row r="9" spans="1:5" x14ac:dyDescent="0.25">
      <c r="A9" s="1" t="s">
        <v>3</v>
      </c>
      <c r="B9" s="1">
        <v>20100927</v>
      </c>
      <c r="C9" s="1" t="s">
        <v>64</v>
      </c>
      <c r="D9">
        <v>78</v>
      </c>
      <c r="E9">
        <f t="shared" si="0"/>
        <v>31.200000000000003</v>
      </c>
    </row>
    <row r="10" spans="1:5" x14ac:dyDescent="0.25">
      <c r="A10" s="1" t="s">
        <v>3</v>
      </c>
      <c r="B10" s="1">
        <v>20101028</v>
      </c>
      <c r="C10" s="1" t="s">
        <v>48</v>
      </c>
      <c r="D10">
        <v>91</v>
      </c>
      <c r="E10">
        <f t="shared" si="0"/>
        <v>36.4</v>
      </c>
    </row>
    <row r="11" spans="1:5" x14ac:dyDescent="0.25">
      <c r="A11" s="1" t="s">
        <v>3</v>
      </c>
      <c r="B11" s="1">
        <v>20101129</v>
      </c>
      <c r="C11" s="1" t="s">
        <v>60</v>
      </c>
      <c r="D11">
        <v>79</v>
      </c>
      <c r="E11">
        <f t="shared" si="0"/>
        <v>31.6</v>
      </c>
    </row>
    <row r="12" spans="1:5" x14ac:dyDescent="0.25">
      <c r="A12" s="1" t="s">
        <v>3</v>
      </c>
      <c r="B12" s="1">
        <v>20101230</v>
      </c>
      <c r="C12" s="1" t="s">
        <v>58</v>
      </c>
      <c r="D12">
        <v>81.5</v>
      </c>
      <c r="E12">
        <f t="shared" si="0"/>
        <v>32.599999999999994</v>
      </c>
    </row>
    <row r="13" spans="1:5" x14ac:dyDescent="0.25">
      <c r="A13" s="1" t="s">
        <v>3</v>
      </c>
      <c r="B13" s="1">
        <v>20101331</v>
      </c>
      <c r="C13" s="1" t="s">
        <v>46</v>
      </c>
      <c r="D13">
        <v>88</v>
      </c>
      <c r="E13">
        <f t="shared" si="0"/>
        <v>35.200000000000003</v>
      </c>
    </row>
    <row r="14" spans="1:5" x14ac:dyDescent="0.25">
      <c r="A14" s="1" t="s">
        <v>3</v>
      </c>
      <c r="B14" s="1">
        <v>20101432</v>
      </c>
      <c r="C14" s="14" t="s">
        <v>13</v>
      </c>
      <c r="D14">
        <v>78</v>
      </c>
      <c r="E14">
        <f t="shared" si="0"/>
        <v>31.200000000000003</v>
      </c>
    </row>
    <row r="15" spans="1:5" x14ac:dyDescent="0.25">
      <c r="A15" s="1" t="s">
        <v>3</v>
      </c>
      <c r="B15" s="1">
        <v>20101533</v>
      </c>
      <c r="C15" s="1" t="s">
        <v>69</v>
      </c>
      <c r="D15">
        <v>92</v>
      </c>
      <c r="E15">
        <f t="shared" si="0"/>
        <v>36.800000000000004</v>
      </c>
    </row>
    <row r="16" spans="1:5" x14ac:dyDescent="0.25">
      <c r="A16" s="1" t="s">
        <v>3</v>
      </c>
      <c r="B16" s="1">
        <v>20101634</v>
      </c>
      <c r="C16" s="1" t="s">
        <v>25</v>
      </c>
      <c r="D16">
        <v>78</v>
      </c>
      <c r="E16">
        <f t="shared" si="0"/>
        <v>31.200000000000003</v>
      </c>
    </row>
    <row r="17" spans="1:5" x14ac:dyDescent="0.25">
      <c r="A17" s="1" t="s">
        <v>3</v>
      </c>
      <c r="B17" s="1">
        <v>20101735</v>
      </c>
      <c r="C17" s="1" t="s">
        <v>67</v>
      </c>
      <c r="D17">
        <v>84.5</v>
      </c>
      <c r="E17">
        <f t="shared" si="0"/>
        <v>33.799999999999997</v>
      </c>
    </row>
    <row r="18" spans="1:5" x14ac:dyDescent="0.25">
      <c r="A18" s="1" t="s">
        <v>3</v>
      </c>
      <c r="B18" s="1">
        <v>20101836</v>
      </c>
      <c r="C18" s="1" t="s">
        <v>62</v>
      </c>
      <c r="D18">
        <v>93</v>
      </c>
      <c r="E18">
        <f t="shared" si="0"/>
        <v>37.200000000000003</v>
      </c>
    </row>
    <row r="19" spans="1:5" x14ac:dyDescent="0.25">
      <c r="A19" s="1" t="s">
        <v>3</v>
      </c>
      <c r="B19" s="1">
        <v>20101937</v>
      </c>
      <c r="C19" s="1" t="s">
        <v>24</v>
      </c>
      <c r="D19">
        <v>89</v>
      </c>
      <c r="E19">
        <f t="shared" si="0"/>
        <v>35.6</v>
      </c>
    </row>
    <row r="20" spans="1:5" x14ac:dyDescent="0.25">
      <c r="A20" s="1" t="s">
        <v>3</v>
      </c>
      <c r="B20" s="1">
        <v>20102038</v>
      </c>
      <c r="C20" s="1" t="s">
        <v>63</v>
      </c>
      <c r="D20">
        <v>87.5</v>
      </c>
      <c r="E20">
        <f t="shared" si="0"/>
        <v>35</v>
      </c>
    </row>
    <row r="21" spans="1:5" x14ac:dyDescent="0.25">
      <c r="A21" s="1" t="s">
        <v>3</v>
      </c>
      <c r="B21" s="1">
        <v>20102139</v>
      </c>
      <c r="C21" s="15" t="s">
        <v>4</v>
      </c>
      <c r="D21">
        <v>85</v>
      </c>
      <c r="E21">
        <f t="shared" si="0"/>
        <v>34</v>
      </c>
    </row>
    <row r="22" spans="1:5" x14ac:dyDescent="0.25">
      <c r="A22" s="1" t="s">
        <v>3</v>
      </c>
      <c r="B22" s="1">
        <v>20102240</v>
      </c>
      <c r="C22" s="14" t="s">
        <v>11</v>
      </c>
      <c r="D22">
        <v>91</v>
      </c>
      <c r="E22">
        <f t="shared" si="0"/>
        <v>36.4</v>
      </c>
    </row>
    <row r="23" spans="1:5" x14ac:dyDescent="0.25">
      <c r="A23" s="1" t="s">
        <v>3</v>
      </c>
      <c r="B23" s="1">
        <v>20102341</v>
      </c>
      <c r="C23" s="14" t="s">
        <v>17</v>
      </c>
      <c r="D23">
        <v>79</v>
      </c>
      <c r="E23">
        <f t="shared" si="0"/>
        <v>31.6</v>
      </c>
    </row>
    <row r="24" spans="1:5" x14ac:dyDescent="0.25">
      <c r="A24" s="1" t="s">
        <v>3</v>
      </c>
      <c r="B24" s="1">
        <v>20102442</v>
      </c>
      <c r="C24" s="1" t="s">
        <v>44</v>
      </c>
      <c r="D24">
        <v>83</v>
      </c>
      <c r="E24">
        <f t="shared" si="0"/>
        <v>33.199999999999996</v>
      </c>
    </row>
    <row r="25" spans="1:5" x14ac:dyDescent="0.25">
      <c r="A25" s="1" t="s">
        <v>3</v>
      </c>
      <c r="B25" s="1">
        <v>20102543</v>
      </c>
      <c r="C25" s="1" t="s">
        <v>51</v>
      </c>
      <c r="D25">
        <v>83</v>
      </c>
      <c r="E25">
        <f t="shared" si="0"/>
        <v>33.199999999999996</v>
      </c>
    </row>
    <row r="26" spans="1:5" x14ac:dyDescent="0.25">
      <c r="A26" s="1" t="s">
        <v>3</v>
      </c>
      <c r="B26" s="1">
        <v>20102644</v>
      </c>
      <c r="C26" s="14" t="s">
        <v>18</v>
      </c>
      <c r="D26">
        <v>86.5</v>
      </c>
      <c r="E26">
        <f t="shared" si="0"/>
        <v>34.6</v>
      </c>
    </row>
    <row r="27" spans="1:5" x14ac:dyDescent="0.25">
      <c r="A27" s="1" t="s">
        <v>3</v>
      </c>
      <c r="B27" s="1">
        <v>20102745</v>
      </c>
      <c r="C27" s="14" t="s">
        <v>15</v>
      </c>
      <c r="D27">
        <v>81</v>
      </c>
      <c r="E27">
        <f t="shared" si="0"/>
        <v>32.400000000000006</v>
      </c>
    </row>
    <row r="28" spans="1:5" x14ac:dyDescent="0.25">
      <c r="A28" s="1" t="s">
        <v>3</v>
      </c>
      <c r="B28" s="1">
        <v>20102846</v>
      </c>
      <c r="C28" s="1" t="s">
        <v>33</v>
      </c>
      <c r="D28">
        <v>76.5</v>
      </c>
      <c r="E28">
        <f t="shared" si="0"/>
        <v>30.6</v>
      </c>
    </row>
    <row r="29" spans="1:5" x14ac:dyDescent="0.25">
      <c r="A29" s="1" t="s">
        <v>3</v>
      </c>
      <c r="B29" s="1">
        <v>20102947</v>
      </c>
      <c r="C29" s="14" t="s">
        <v>16</v>
      </c>
      <c r="D29">
        <v>94</v>
      </c>
      <c r="E29">
        <f t="shared" si="0"/>
        <v>37.599999999999994</v>
      </c>
    </row>
    <row r="30" spans="1:5" x14ac:dyDescent="0.25">
      <c r="A30" s="1" t="s">
        <v>3</v>
      </c>
      <c r="B30" s="1">
        <v>20103048</v>
      </c>
      <c r="C30" s="1" t="s">
        <v>26</v>
      </c>
      <c r="D30">
        <v>74</v>
      </c>
      <c r="E30">
        <f t="shared" si="0"/>
        <v>29.6</v>
      </c>
    </row>
    <row r="31" spans="1:5" x14ac:dyDescent="0.25">
      <c r="A31" s="1" t="s">
        <v>3</v>
      </c>
      <c r="B31" s="1">
        <v>20103149</v>
      </c>
      <c r="C31" s="1" t="s">
        <v>37</v>
      </c>
      <c r="D31">
        <v>72</v>
      </c>
      <c r="E31">
        <f t="shared" si="0"/>
        <v>28.799999999999997</v>
      </c>
    </row>
    <row r="32" spans="1:5" x14ac:dyDescent="0.25">
      <c r="A32" s="1" t="s">
        <v>3</v>
      </c>
      <c r="B32" s="1">
        <v>20103250</v>
      </c>
      <c r="C32" s="1" t="s">
        <v>27</v>
      </c>
      <c r="D32">
        <v>85</v>
      </c>
      <c r="E32">
        <f t="shared" si="0"/>
        <v>34</v>
      </c>
    </row>
    <row r="33" spans="1:5" x14ac:dyDescent="0.25">
      <c r="A33" s="1" t="s">
        <v>3</v>
      </c>
      <c r="B33" s="1">
        <v>20103351</v>
      </c>
      <c r="C33" s="1" t="s">
        <v>30</v>
      </c>
      <c r="D33">
        <v>94</v>
      </c>
      <c r="E33">
        <f t="shared" si="0"/>
        <v>37.599999999999994</v>
      </c>
    </row>
    <row r="34" spans="1:5" x14ac:dyDescent="0.25">
      <c r="A34" s="1" t="s">
        <v>3</v>
      </c>
      <c r="B34" s="1">
        <v>20103452</v>
      </c>
      <c r="C34" s="14" t="s">
        <v>6</v>
      </c>
      <c r="D34">
        <v>82</v>
      </c>
      <c r="E34">
        <f t="shared" si="0"/>
        <v>32.799999999999997</v>
      </c>
    </row>
    <row r="35" spans="1:5" x14ac:dyDescent="0.25">
      <c r="A35" s="1" t="s">
        <v>3</v>
      </c>
      <c r="B35" s="1">
        <v>20103553</v>
      </c>
      <c r="C35" s="1" t="s">
        <v>28</v>
      </c>
      <c r="D35">
        <v>81</v>
      </c>
      <c r="E35">
        <f t="shared" si="0"/>
        <v>32.400000000000006</v>
      </c>
    </row>
    <row r="36" spans="1:5" x14ac:dyDescent="0.25">
      <c r="A36" s="1" t="s">
        <v>3</v>
      </c>
      <c r="B36" s="1">
        <v>20103654</v>
      </c>
      <c r="C36" s="1" t="s">
        <v>53</v>
      </c>
      <c r="D36">
        <v>89</v>
      </c>
      <c r="E36">
        <f t="shared" si="0"/>
        <v>35.6</v>
      </c>
    </row>
    <row r="37" spans="1:5" x14ac:dyDescent="0.25">
      <c r="A37" s="1" t="s">
        <v>3</v>
      </c>
      <c r="B37" s="1">
        <v>20103755</v>
      </c>
      <c r="C37" s="1" t="s">
        <v>38</v>
      </c>
      <c r="D37">
        <v>72.5</v>
      </c>
      <c r="E37">
        <f t="shared" si="0"/>
        <v>29</v>
      </c>
    </row>
    <row r="38" spans="1:5" x14ac:dyDescent="0.25">
      <c r="A38" s="1" t="s">
        <v>3</v>
      </c>
      <c r="B38" s="1">
        <v>20103856</v>
      </c>
      <c r="C38" s="1" t="s">
        <v>59</v>
      </c>
      <c r="D38">
        <v>75.5</v>
      </c>
      <c r="E38">
        <f t="shared" si="0"/>
        <v>30.2</v>
      </c>
    </row>
    <row r="39" spans="1:5" x14ac:dyDescent="0.25">
      <c r="A39" s="1" t="s">
        <v>3</v>
      </c>
      <c r="B39" s="1">
        <v>20103957</v>
      </c>
      <c r="C39" s="1" t="s">
        <v>35</v>
      </c>
      <c r="D39">
        <v>82</v>
      </c>
      <c r="E39">
        <f t="shared" si="0"/>
        <v>32.799999999999997</v>
      </c>
    </row>
    <row r="40" spans="1:5" x14ac:dyDescent="0.25">
      <c r="A40" s="1" t="s">
        <v>3</v>
      </c>
      <c r="B40" s="1">
        <v>20104058</v>
      </c>
      <c r="C40" s="15" t="s">
        <v>22</v>
      </c>
      <c r="D40">
        <v>89.5</v>
      </c>
      <c r="E40">
        <f t="shared" si="0"/>
        <v>35.799999999999997</v>
      </c>
    </row>
    <row r="41" spans="1:5" x14ac:dyDescent="0.25">
      <c r="A41" s="1" t="s">
        <v>3</v>
      </c>
      <c r="B41" s="1">
        <v>20104159</v>
      </c>
      <c r="C41" s="1" t="s">
        <v>29</v>
      </c>
      <c r="D41">
        <v>89</v>
      </c>
      <c r="E41">
        <f t="shared" si="0"/>
        <v>35.6</v>
      </c>
    </row>
    <row r="42" spans="1:5" x14ac:dyDescent="0.25">
      <c r="A42" s="1" t="s">
        <v>3</v>
      </c>
      <c r="B42" s="1">
        <v>20104260</v>
      </c>
      <c r="C42" s="1" t="s">
        <v>56</v>
      </c>
      <c r="D42">
        <v>89</v>
      </c>
      <c r="E42">
        <f t="shared" si="0"/>
        <v>35.6</v>
      </c>
    </row>
    <row r="43" spans="1:5" x14ac:dyDescent="0.25">
      <c r="A43" s="1" t="s">
        <v>3</v>
      </c>
      <c r="B43" s="1">
        <v>20104361</v>
      </c>
      <c r="C43" s="1" t="s">
        <v>49</v>
      </c>
      <c r="D43">
        <v>91.5</v>
      </c>
      <c r="E43">
        <f t="shared" si="0"/>
        <v>36.6</v>
      </c>
    </row>
    <row r="44" spans="1:5" x14ac:dyDescent="0.25">
      <c r="A44" s="1" t="s">
        <v>3</v>
      </c>
      <c r="B44" s="1">
        <v>20104462</v>
      </c>
      <c r="C44" s="1" t="s">
        <v>45</v>
      </c>
      <c r="D44">
        <v>88</v>
      </c>
      <c r="E44">
        <f t="shared" si="0"/>
        <v>35.200000000000003</v>
      </c>
    </row>
    <row r="45" spans="1:5" x14ac:dyDescent="0.25">
      <c r="A45" s="1" t="s">
        <v>3</v>
      </c>
      <c r="B45" s="1">
        <v>20104563</v>
      </c>
      <c r="C45" s="14" t="s">
        <v>10</v>
      </c>
      <c r="D45">
        <v>89</v>
      </c>
      <c r="E45">
        <f t="shared" si="0"/>
        <v>35.6</v>
      </c>
    </row>
    <row r="46" spans="1:5" x14ac:dyDescent="0.25">
      <c r="A46" s="1" t="s">
        <v>3</v>
      </c>
      <c r="B46" s="1">
        <v>20104664</v>
      </c>
      <c r="C46" s="1" t="s">
        <v>34</v>
      </c>
      <c r="D46">
        <v>81</v>
      </c>
      <c r="E46">
        <f t="shared" si="0"/>
        <v>32.400000000000006</v>
      </c>
    </row>
    <row r="47" spans="1:5" x14ac:dyDescent="0.25">
      <c r="A47" s="1" t="s">
        <v>3</v>
      </c>
      <c r="B47" s="1">
        <v>20104765</v>
      </c>
      <c r="C47" s="14" t="s">
        <v>19</v>
      </c>
      <c r="D47">
        <v>73.5</v>
      </c>
      <c r="E47">
        <f t="shared" si="0"/>
        <v>29.4</v>
      </c>
    </row>
    <row r="48" spans="1:5" x14ac:dyDescent="0.25">
      <c r="A48" s="1" t="s">
        <v>3</v>
      </c>
      <c r="B48" s="1">
        <v>20104866</v>
      </c>
      <c r="C48" s="1" t="s">
        <v>23</v>
      </c>
      <c r="D48">
        <v>89.5</v>
      </c>
      <c r="E48">
        <f t="shared" si="0"/>
        <v>35.799999999999997</v>
      </c>
    </row>
    <row r="49" spans="1:5" x14ac:dyDescent="0.25">
      <c r="A49" s="1" t="s">
        <v>3</v>
      </c>
      <c r="B49" s="1">
        <v>20104967</v>
      </c>
      <c r="C49" s="14" t="s">
        <v>20</v>
      </c>
      <c r="D49">
        <v>81.5</v>
      </c>
      <c r="E49">
        <f t="shared" si="0"/>
        <v>32.599999999999994</v>
      </c>
    </row>
    <row r="50" spans="1:5" x14ac:dyDescent="0.25">
      <c r="A50" s="1" t="s">
        <v>3</v>
      </c>
      <c r="B50" s="1">
        <v>20105068</v>
      </c>
      <c r="C50" s="1" t="s">
        <v>32</v>
      </c>
      <c r="D50">
        <v>82</v>
      </c>
      <c r="E50">
        <f t="shared" si="0"/>
        <v>32.799999999999997</v>
      </c>
    </row>
    <row r="51" spans="1:5" x14ac:dyDescent="0.25">
      <c r="A51" s="1" t="s">
        <v>3</v>
      </c>
      <c r="B51" s="1">
        <v>20105169</v>
      </c>
      <c r="C51" s="1" t="s">
        <v>40</v>
      </c>
      <c r="D51">
        <v>91.5</v>
      </c>
      <c r="E51">
        <f t="shared" si="0"/>
        <v>36.6</v>
      </c>
    </row>
    <row r="52" spans="1:5" x14ac:dyDescent="0.25">
      <c r="A52" s="1" t="s">
        <v>3</v>
      </c>
      <c r="B52" s="1">
        <v>20105270</v>
      </c>
      <c r="C52" s="1" t="s">
        <v>52</v>
      </c>
      <c r="D52">
        <v>89.5</v>
      </c>
      <c r="E52">
        <f t="shared" si="0"/>
        <v>35.799999999999997</v>
      </c>
    </row>
    <row r="53" spans="1:5" x14ac:dyDescent="0.25">
      <c r="A53" s="1" t="s">
        <v>3</v>
      </c>
      <c r="B53" s="1">
        <v>20105371</v>
      </c>
      <c r="C53" s="1" t="s">
        <v>61</v>
      </c>
      <c r="D53">
        <v>82</v>
      </c>
      <c r="E53">
        <f t="shared" si="0"/>
        <v>32.799999999999997</v>
      </c>
    </row>
    <row r="54" spans="1:5" x14ac:dyDescent="0.25">
      <c r="A54" s="1" t="s">
        <v>3</v>
      </c>
      <c r="B54" s="1">
        <v>20105472</v>
      </c>
      <c r="C54" s="14" t="s">
        <v>7</v>
      </c>
      <c r="D54">
        <v>63</v>
      </c>
      <c r="E54">
        <f t="shared" si="0"/>
        <v>25.2</v>
      </c>
    </row>
    <row r="55" spans="1:5" x14ac:dyDescent="0.25">
      <c r="A55" s="1" t="s">
        <v>3</v>
      </c>
      <c r="B55" s="1">
        <v>20105573</v>
      </c>
      <c r="C55" s="1" t="s">
        <v>68</v>
      </c>
      <c r="D55">
        <v>83.5</v>
      </c>
      <c r="E55">
        <f t="shared" si="0"/>
        <v>33.4</v>
      </c>
    </row>
    <row r="56" spans="1:5" x14ac:dyDescent="0.25">
      <c r="A56" s="1" t="s">
        <v>3</v>
      </c>
      <c r="B56" s="1">
        <v>20105674</v>
      </c>
      <c r="C56" s="14" t="s">
        <v>14</v>
      </c>
      <c r="D56">
        <v>89.5</v>
      </c>
      <c r="E56">
        <f t="shared" si="0"/>
        <v>35.799999999999997</v>
      </c>
    </row>
    <row r="57" spans="1:5" x14ac:dyDescent="0.25">
      <c r="A57" s="1" t="s">
        <v>3</v>
      </c>
      <c r="B57" s="1">
        <v>20105775</v>
      </c>
      <c r="C57" s="1" t="s">
        <v>41</v>
      </c>
      <c r="D57">
        <v>84.5</v>
      </c>
      <c r="E57">
        <f t="shared" si="0"/>
        <v>33.799999999999997</v>
      </c>
    </row>
    <row r="58" spans="1:5" x14ac:dyDescent="0.25">
      <c r="A58" s="1" t="s">
        <v>3</v>
      </c>
      <c r="B58" s="1">
        <v>20105876</v>
      </c>
      <c r="C58" s="1" t="s">
        <v>42</v>
      </c>
      <c r="D58">
        <v>91</v>
      </c>
      <c r="E58">
        <f t="shared" si="0"/>
        <v>36.4</v>
      </c>
    </row>
    <row r="59" spans="1:5" x14ac:dyDescent="0.25">
      <c r="A59" s="1" t="s">
        <v>3</v>
      </c>
      <c r="B59" s="1">
        <v>20105977</v>
      </c>
      <c r="C59" s="14" t="s">
        <v>9</v>
      </c>
      <c r="D59">
        <v>90</v>
      </c>
      <c r="E59">
        <f t="shared" si="0"/>
        <v>36</v>
      </c>
    </row>
    <row r="60" spans="1:5" x14ac:dyDescent="0.25">
      <c r="A60" s="1" t="s">
        <v>3</v>
      </c>
      <c r="B60" s="1">
        <v>20106078</v>
      </c>
      <c r="C60" s="1" t="s">
        <v>39</v>
      </c>
      <c r="D60">
        <v>78</v>
      </c>
      <c r="E60">
        <f t="shared" si="0"/>
        <v>31.200000000000003</v>
      </c>
    </row>
    <row r="61" spans="1:5" x14ac:dyDescent="0.25">
      <c r="A61" s="1" t="s">
        <v>3</v>
      </c>
      <c r="B61" s="1">
        <v>20106179</v>
      </c>
      <c r="C61" s="1" t="s">
        <v>36</v>
      </c>
      <c r="D61">
        <v>80.5</v>
      </c>
      <c r="E61">
        <f t="shared" si="0"/>
        <v>32.200000000000003</v>
      </c>
    </row>
    <row r="62" spans="1:5" x14ac:dyDescent="0.25">
      <c r="A62" s="1" t="s">
        <v>3</v>
      </c>
      <c r="B62" s="1">
        <v>20106280</v>
      </c>
      <c r="C62" s="14" t="s">
        <v>5</v>
      </c>
      <c r="D62">
        <v>84</v>
      </c>
      <c r="E62">
        <f t="shared" si="0"/>
        <v>33.6</v>
      </c>
    </row>
    <row r="63" spans="1:5" x14ac:dyDescent="0.25">
      <c r="A63" s="1" t="s">
        <v>3</v>
      </c>
      <c r="B63" s="1">
        <v>20106381</v>
      </c>
      <c r="C63" s="1" t="s">
        <v>43</v>
      </c>
      <c r="D63">
        <v>88</v>
      </c>
      <c r="E63">
        <f t="shared" si="0"/>
        <v>35.200000000000003</v>
      </c>
    </row>
    <row r="64" spans="1:5" x14ac:dyDescent="0.25">
      <c r="A64" s="1" t="s">
        <v>3</v>
      </c>
      <c r="B64" s="1">
        <v>20106482</v>
      </c>
      <c r="C64" s="1" t="s">
        <v>54</v>
      </c>
      <c r="D64">
        <v>84</v>
      </c>
      <c r="E64">
        <f t="shared" si="0"/>
        <v>33.6</v>
      </c>
    </row>
    <row r="65" spans="1:5" x14ac:dyDescent="0.25">
      <c r="A65" s="1" t="s">
        <v>3</v>
      </c>
      <c r="B65" s="1">
        <v>20106583</v>
      </c>
      <c r="C65" s="14" t="s">
        <v>8</v>
      </c>
      <c r="D65">
        <v>93</v>
      </c>
      <c r="E65">
        <f t="shared" si="0"/>
        <v>37.200000000000003</v>
      </c>
    </row>
    <row r="66" spans="1:5" x14ac:dyDescent="0.25">
      <c r="A66" s="1" t="s">
        <v>3</v>
      </c>
      <c r="B66" s="1">
        <v>20106684</v>
      </c>
      <c r="C66" s="1" t="s">
        <v>57</v>
      </c>
      <c r="D66">
        <v>93</v>
      </c>
      <c r="E66">
        <f t="shared" si="0"/>
        <v>37.200000000000003</v>
      </c>
    </row>
    <row r="67" spans="1:5" x14ac:dyDescent="0.25">
      <c r="A67" s="1" t="s">
        <v>3</v>
      </c>
      <c r="B67" s="1">
        <v>20100119</v>
      </c>
      <c r="C67" s="1" t="s">
        <v>50</v>
      </c>
      <c r="D67">
        <v>88.5</v>
      </c>
      <c r="E67">
        <f t="shared" ref="E67" si="1">D67/100*40</f>
        <v>35.4</v>
      </c>
    </row>
    <row r="69" spans="1:5" x14ac:dyDescent="0.25">
      <c r="D69" s="16" t="s">
        <v>82</v>
      </c>
      <c r="E69" s="17">
        <f>MIN(E2:E67)</f>
        <v>25.2</v>
      </c>
    </row>
    <row r="70" spans="1:5" x14ac:dyDescent="0.25">
      <c r="D70" s="16" t="s">
        <v>83</v>
      </c>
      <c r="E70" s="17">
        <f>MAX(E2:E67)</f>
        <v>37.599999999999994</v>
      </c>
    </row>
    <row r="71" spans="1:5" x14ac:dyDescent="0.25">
      <c r="D71" s="16" t="s">
        <v>80</v>
      </c>
      <c r="E71" s="17">
        <f>AVERAGE(E2:E67)</f>
        <v>33.824242424242414</v>
      </c>
    </row>
    <row r="72" spans="1:5" x14ac:dyDescent="0.25">
      <c r="D72" s="16" t="s">
        <v>81</v>
      </c>
      <c r="E72" s="17">
        <f>STDEV(E2:E67)</f>
        <v>2.680416764727835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Quiz</vt:lpstr>
      <vt:lpstr>Midterm</vt:lpstr>
      <vt:lpstr>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Kwok</dc:creator>
  <cp:lastModifiedBy>HKUST, Library Guest Login</cp:lastModifiedBy>
  <dcterms:created xsi:type="dcterms:W3CDTF">2017-08-06T04:40:18Z</dcterms:created>
  <dcterms:modified xsi:type="dcterms:W3CDTF">2020-11-10T09:15:44Z</dcterms:modified>
</cp:coreProperties>
</file>